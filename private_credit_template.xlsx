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9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PrivateCredit\"/>
    </mc:Choice>
  </mc:AlternateContent>
  <xr:revisionPtr revIDLastSave="0" documentId="13_ncr:1_{C9A81BE7-9508-46F4-ADD3-D8DCAAE15088}" xr6:coauthVersionLast="47" xr6:coauthVersionMax="47" xr10:uidLastSave="{00000000-0000-0000-0000-000000000000}"/>
  <bookViews>
    <workbookView xWindow="28680" yWindow="-120" windowWidth="29040" windowHeight="15720" tabRatio="828" activeTab="1" xr2:uid="{00000000-000D-0000-FFFF-FFFF00000000}"/>
  </bookViews>
  <sheets>
    <sheet name="GC" sheetId="15" r:id="rId1"/>
    <sheet name="Summary&amp;CF_SICAV" sheetId="12" r:id="rId2"/>
  </sheets>
  <definedNames>
    <definedName name="__123Graph_A" hidden="1">#REF!</definedName>
    <definedName name="__123Graph_AACTIVO" hidden="1">#REF!</definedName>
    <definedName name="__123Graph_ADIVIDENDOS" hidden="1">#REF!</definedName>
    <definedName name="__123Graph_AINVERSION" hidden="1">#REF!</definedName>
    <definedName name="__123Graph_ALONGITUD" hidden="1">#REF!</definedName>
    <definedName name="__123Graph_APASIVO" hidden="1">#REF!</definedName>
    <definedName name="__123Graph_APLANTILLA" hidden="1">#REF!</definedName>
    <definedName name="__123Graph_ARECURSOSPROPIOS" hidden="1">#REF!</definedName>
    <definedName name="__123Graph_ARESULTADOS" hidden="1">#REF!</definedName>
    <definedName name="__123Graph_AVENTDOCO" hidden="1">#REF!</definedName>
    <definedName name="__123Graph_BACTIVO" hidden="1">#REF!</definedName>
    <definedName name="__123Graph_BINVERSION" hidden="1">#REF!</definedName>
    <definedName name="__123Graph_BPASIVO" hidden="1">#REF!</definedName>
    <definedName name="__123Graph_BPLANTILLA" hidden="1">#REF!</definedName>
    <definedName name="__123Graph_BRECURSOSPROPIOS" hidden="1">#REF!</definedName>
    <definedName name="__123Graph_CACTIVO" hidden="1">#REF!</definedName>
    <definedName name="__123Graph_CLONGITUD" hidden="1">#REF!</definedName>
    <definedName name="__123Graph_CPASIVO" hidden="1">#REF!</definedName>
    <definedName name="__123Graph_CPLANTILLA" hidden="1">#REF!</definedName>
    <definedName name="__123Graph_CRECURSOSPROPIOS" hidden="1">#REF!</definedName>
    <definedName name="__123Graph_CRESULTADOS" hidden="1">#REF!</definedName>
    <definedName name="__123Graph_D" hidden="1">#REF!</definedName>
    <definedName name="__123Graph_DACTIVO" hidden="1">#REF!</definedName>
    <definedName name="__123Graph_DLONGITUD" hidden="1">#REF!</definedName>
    <definedName name="__123Graph_DRECURSOSPROPIOS" hidden="1">#REF!</definedName>
    <definedName name="__123Graph_DRESULTADOS" hidden="1">#REF!</definedName>
    <definedName name="__123Graph_ERECURSOSPROPIOS" hidden="1">#REF!</definedName>
    <definedName name="__123Graph_X" hidden="1">#REF!</definedName>
    <definedName name="__123Graph_XACTIVO" hidden="1">#REF!</definedName>
    <definedName name="__123Graph_XCLIENTESDOM" hidden="1">#REF!</definedName>
    <definedName name="__123Graph_XCLIENTESTOT" hidden="1">#REF!</definedName>
    <definedName name="__123Graph_XDIVIDENDOS" hidden="1">#REF!</definedName>
    <definedName name="__123Graph_XINVERSION" hidden="1">#REF!</definedName>
    <definedName name="__123Graph_XLONGITUD" hidden="1">#REF!</definedName>
    <definedName name="__123Graph_XPASIVO" hidden="1">#REF!</definedName>
    <definedName name="__123Graph_XPLANTILLA" hidden="1">#REF!</definedName>
    <definedName name="__123Graph_XRECURSOSPROPIOS" hidden="1">#REF!</definedName>
    <definedName name="__123Graph_XRESULTADOS" hidden="1">#REF!</definedName>
    <definedName name="__123Graph_XVENTAS" hidden="1">#REF!</definedName>
    <definedName name="__123Graph_XVENTDOCO" hidden="1">#REF!</definedName>
    <definedName name="__bat67" localSheetId="0" hidden="1">{#N/A,#N/A,FALSE,"Tabl. D1";#N/A,#N/A,FALSE,"Tabl. D1 b";#N/A,#N/A,FALSE,"Tabl. D2";#N/A,#N/A,FALSE,"Tabl. D2 b";#N/A,#N/A,FALSE,"Tabl. D3";#N/A,#N/A,FALSE,"Tabl. D4";#N/A,#N/A,FALSE,"Tabl. D5"}</definedName>
    <definedName name="__bat67" hidden="1">{#N/A,#N/A,FALSE,"Tabl. D1";#N/A,#N/A,FALSE,"Tabl. D1 b";#N/A,#N/A,FALSE,"Tabl. D2";#N/A,#N/A,FALSE,"Tabl. D2 b";#N/A,#N/A,FALSE,"Tabl. D3";#N/A,#N/A,FALSE,"Tabl. D4";#N/A,#N/A,FALSE,"Tabl. D5"}</definedName>
    <definedName name="__NM09" localSheetId="0" hidden="1">{#N/A,#N/A,FALSE,"Tabl. D1";#N/A,#N/A,FALSE,"Tabl. D1 b";#N/A,#N/A,FALSE,"Tabl. D2";#N/A,#N/A,FALSE,"Tabl. D2 b";#N/A,#N/A,FALSE,"Tabl. D3";#N/A,#N/A,FALSE,"Tabl. D4";#N/A,#N/A,FALSE,"Tabl. D5"}</definedName>
    <definedName name="__NM09" hidden="1">{#N/A,#N/A,FALSE,"Tabl. D1";#N/A,#N/A,FALSE,"Tabl. D1 b";#N/A,#N/A,FALSE,"Tabl. D2";#N/A,#N/A,FALSE,"Tabl. D2 b";#N/A,#N/A,FALSE,"Tabl. D3";#N/A,#N/A,FALSE,"Tabl. D4";#N/A,#N/A,FALSE,"Tabl. D5"}</definedName>
    <definedName name="__taa34" localSheetId="0" hidden="1">{#N/A,#N/A,FALSE,"Tabl. G1";#N/A,#N/A,FALSE,"Tabl. G2"}</definedName>
    <definedName name="__taa34" hidden="1">{#N/A,#N/A,FALSE,"Tabl. G1";#N/A,#N/A,FALSE,"Tabl. G2"}</definedName>
    <definedName name="__tab09" localSheetId="0" hidden="1">{#N/A,#N/A,FALSE,"Tabl. FB300";#N/A,#N/A,FALSE,"Tabl. FB350";#N/A,#N/A,FALSE,"Tabl. FB400";#N/A,#N/A,FALSE,"Tabl. FB500";#N/A,#N/A,FALSE,"Tabl. FS090"}</definedName>
    <definedName name="__tab09" hidden="1">{#N/A,#N/A,FALSE,"Tabl. FB300";#N/A,#N/A,FALSE,"Tabl. FB350";#N/A,#N/A,FALSE,"Tabl. FB400";#N/A,#N/A,FALSE,"Tabl. FB500";#N/A,#N/A,FALSE,"Tabl. FS090"}</definedName>
    <definedName name="__TAB120" localSheetId="0" hidden="1">{#N/A,#N/A,FALSE,"Tabl. FB300";#N/A,#N/A,FALSE,"Tabl. FB350";#N/A,#N/A,FALSE,"Tabl. FB400";#N/A,#N/A,FALSE,"Tabl. FB500";#N/A,#N/A,FALSE,"Tabl. FS090"}</definedName>
    <definedName name="__TAB120" hidden="1">{#N/A,#N/A,FALSE,"Tabl. FB300";#N/A,#N/A,FALSE,"Tabl. FB350";#N/A,#N/A,FALSE,"Tabl. FB400";#N/A,#N/A,FALSE,"Tabl. FB500";#N/A,#N/A,FALSE,"Tabl. FS090"}</definedName>
    <definedName name="__tab14" localSheetId="0" hidden="1">{#N/A,#N/A,FALSE,"Tabl. FB300";#N/A,#N/A,FALSE,"Tabl. FB350";#N/A,#N/A,FALSE,"Tabl. FB400";#N/A,#N/A,FALSE,"Tabl. FB500";#N/A,#N/A,FALSE,"Tabl. FS090"}</definedName>
    <definedName name="__tab14" hidden="1">{#N/A,#N/A,FALSE,"Tabl. FB300";#N/A,#N/A,FALSE,"Tabl. FB350";#N/A,#N/A,FALSE,"Tabl. FB400";#N/A,#N/A,FALSE,"Tabl. FB500";#N/A,#N/A,FALSE,"Tabl. FS090"}</definedName>
    <definedName name="__tab15" localSheetId="0" hidden="1">{#N/A,#N/A,FALSE,"Tabl. A1";#N/A,#N/A,FALSE,"Tabl. A1 b";#N/A,#N/A,FALSE,"Tabl. A2";#N/A,#N/A,FALSE,"Tabl. A2-1";#N/A,#N/A,FALSE,"Tabl. A2-2"}</definedName>
    <definedName name="__tab15" hidden="1">{#N/A,#N/A,FALSE,"Tabl. A1";#N/A,#N/A,FALSE,"Tabl. A1 b";#N/A,#N/A,FALSE,"Tabl. A2";#N/A,#N/A,FALSE,"Tabl. A2-1";#N/A,#N/A,FALSE,"Tabl. A2-2"}</definedName>
    <definedName name="__TAB20" localSheetId="0" hidden="1">{#N/A,#N/A,FALSE,"Tabl. D1";#N/A,#N/A,FALSE,"Tabl. D1 b";#N/A,#N/A,FALSE,"Tabl. D2";#N/A,#N/A,FALSE,"Tabl. D2 b";#N/A,#N/A,FALSE,"Tabl. D3";#N/A,#N/A,FALSE,"Tabl. D4";#N/A,#N/A,FALSE,"Tabl. D5"}</definedName>
    <definedName name="__TAB20" hidden="1">{#N/A,#N/A,FALSE,"Tabl. D1";#N/A,#N/A,FALSE,"Tabl. D1 b";#N/A,#N/A,FALSE,"Tabl. D2";#N/A,#N/A,FALSE,"Tabl. D2 b";#N/A,#N/A,FALSE,"Tabl. D3";#N/A,#N/A,FALSE,"Tabl. D4";#N/A,#N/A,FALSE,"Tabl. D5"}</definedName>
    <definedName name="__tab2341" localSheetId="0" hidden="1">{#N/A,#N/A,FALSE,"Tabl. FB300";#N/A,#N/A,FALSE,"Tabl. FB350";#N/A,#N/A,FALSE,"Tabl. FB400";#N/A,#N/A,FALSE,"Tabl. FB500";#N/A,#N/A,FALSE,"Tabl. FS090"}</definedName>
    <definedName name="__tab2341" hidden="1">{#N/A,#N/A,FALSE,"Tabl. FB300";#N/A,#N/A,FALSE,"Tabl. FB350";#N/A,#N/A,FALSE,"Tabl. FB400";#N/A,#N/A,FALSE,"Tabl. FB500";#N/A,#N/A,FALSE,"Tabl. FS090"}</definedName>
    <definedName name="__tab26" localSheetId="0" hidden="1">{#N/A,#N/A,FALSE,"Tabl. H1";#N/A,#N/A,FALSE,"Tabl. H2"}</definedName>
    <definedName name="__tab26" hidden="1">{#N/A,#N/A,FALSE,"Tabl. H1";#N/A,#N/A,FALSE,"Tabl. H2"}</definedName>
    <definedName name="__tab27" localSheetId="0" hidden="1">{#N/A,#N/A,FALSE,"Tabl. D1";#N/A,#N/A,FALSE,"Tabl. D1 b";#N/A,#N/A,FALSE,"Tabl. D2";#N/A,#N/A,FALSE,"Tabl. D2 b";#N/A,#N/A,FALSE,"Tabl. D3";#N/A,#N/A,FALSE,"Tabl. D4";#N/A,#N/A,FALSE,"Tabl. D5"}</definedName>
    <definedName name="__tab27" hidden="1">{#N/A,#N/A,FALSE,"Tabl. D1";#N/A,#N/A,FALSE,"Tabl. D1 b";#N/A,#N/A,FALSE,"Tabl. D2";#N/A,#N/A,FALSE,"Tabl. D2 b";#N/A,#N/A,FALSE,"Tabl. D3";#N/A,#N/A,FALSE,"Tabl. D4";#N/A,#N/A,FALSE,"Tabl. D5"}</definedName>
    <definedName name="__TAB3" localSheetId="0" hidden="1">{#N/A,#N/A,FALSE,"Tabl. FB300";#N/A,#N/A,FALSE,"Tabl. FB350";#N/A,#N/A,FALSE,"Tabl. FB400";#N/A,#N/A,FALSE,"Tabl. FB500";#N/A,#N/A,FALSE,"Tabl. FS090"}</definedName>
    <definedName name="__TAB3" hidden="1">{#N/A,#N/A,FALSE,"Tabl. FB300";#N/A,#N/A,FALSE,"Tabl. FB350";#N/A,#N/A,FALSE,"Tabl. FB400";#N/A,#N/A,FALSE,"Tabl. FB500";#N/A,#N/A,FALSE,"Tabl. FS090"}</definedName>
    <definedName name="__tab32" localSheetId="0" hidden="1">{#N/A,#N/A,FALSE,"Tabl. H1";#N/A,#N/A,FALSE,"Tabl. H2"}</definedName>
    <definedName name="__tab32" hidden="1">{#N/A,#N/A,FALSE,"Tabl. H1";#N/A,#N/A,FALSE,"Tabl. H2"}</definedName>
    <definedName name="__tab36" localSheetId="0" hidden="1">{#N/A,#N/A,FALSE,"Tabl. A1";#N/A,#N/A,FALSE,"Tabl. A1 b";#N/A,#N/A,FALSE,"Tabl. A2";#N/A,#N/A,FALSE,"Tabl. A2-1";#N/A,#N/A,FALSE,"Tabl. A2-2"}</definedName>
    <definedName name="__tab36" hidden="1">{#N/A,#N/A,FALSE,"Tabl. A1";#N/A,#N/A,FALSE,"Tabl. A1 b";#N/A,#N/A,FALSE,"Tabl. A2";#N/A,#N/A,FALSE,"Tabl. A2-1";#N/A,#N/A,FALSE,"Tabl. A2-2"}</definedName>
    <definedName name="__tab37" localSheetId="0" hidden="1">{#N/A,#N/A,FALSE,"Tabl. G1";#N/A,#N/A,FALSE,"Tabl. G2"}</definedName>
    <definedName name="__tab37" hidden="1">{#N/A,#N/A,FALSE,"Tabl. G1";#N/A,#N/A,FALSE,"Tabl. G2"}</definedName>
    <definedName name="__tab4" localSheetId="0" hidden="1">{#N/A,#N/A,FALSE,"Tabl. FB300";#N/A,#N/A,FALSE,"Tabl. FB350";#N/A,#N/A,FALSE,"Tabl. FB400";#N/A,#N/A,FALSE,"Tabl. FB500";#N/A,#N/A,FALSE,"Tabl. FS090"}</definedName>
    <definedName name="__tab4" hidden="1">{#N/A,#N/A,FALSE,"Tabl. FB300";#N/A,#N/A,FALSE,"Tabl. FB350";#N/A,#N/A,FALSE,"Tabl. FB400";#N/A,#N/A,FALSE,"Tabl. FB500";#N/A,#N/A,FALSE,"Tabl. FS090"}</definedName>
    <definedName name="__tab40" localSheetId="0" hidden="1">{#N/A,#N/A,FALSE,"Tabl. FB300";#N/A,#N/A,FALSE,"Tabl. FB350";#N/A,#N/A,FALSE,"Tabl. FB400";#N/A,#N/A,FALSE,"Tabl. FB500";#N/A,#N/A,FALSE,"Tabl. FS090"}</definedName>
    <definedName name="__tab40" hidden="1">{#N/A,#N/A,FALSE,"Tabl. FB300";#N/A,#N/A,FALSE,"Tabl. FB350";#N/A,#N/A,FALSE,"Tabl. FB400";#N/A,#N/A,FALSE,"Tabl. FB500";#N/A,#N/A,FALSE,"Tabl. FS090"}</definedName>
    <definedName name="__tab43" localSheetId="0" hidden="1">{#N/A,#N/A,FALSE,"Tabl. D1";#N/A,#N/A,FALSE,"Tabl. D1 b";#N/A,#N/A,FALSE,"Tabl. D2";#N/A,#N/A,FALSE,"Tabl. D2 b";#N/A,#N/A,FALSE,"Tabl. D3";#N/A,#N/A,FALSE,"Tabl. D4";#N/A,#N/A,FALSE,"Tabl. D5"}</definedName>
    <definedName name="__tab43" hidden="1">{#N/A,#N/A,FALSE,"Tabl. D1";#N/A,#N/A,FALSE,"Tabl. D1 b";#N/A,#N/A,FALSE,"Tabl. D2";#N/A,#N/A,FALSE,"Tabl. D2 b";#N/A,#N/A,FALSE,"Tabl. D3";#N/A,#N/A,FALSE,"Tabl. D4";#N/A,#N/A,FALSE,"Tabl. D5"}</definedName>
    <definedName name="__tab45" localSheetId="0" hidden="1">{#N/A,#N/A,FALSE,"Tabl. A1";#N/A,#N/A,FALSE,"Tabl. A1 b";#N/A,#N/A,FALSE,"Tabl. A2";#N/A,#N/A,FALSE,"Tabl. A2-1";#N/A,#N/A,FALSE,"Tabl. A2-2"}</definedName>
    <definedName name="__tab45" hidden="1">{#N/A,#N/A,FALSE,"Tabl. A1";#N/A,#N/A,FALSE,"Tabl. A1 b";#N/A,#N/A,FALSE,"Tabl. A2";#N/A,#N/A,FALSE,"Tabl. A2-1";#N/A,#N/A,FALSE,"Tabl. A2-2"}</definedName>
    <definedName name="__tab5" localSheetId="0" hidden="1">{#N/A,#N/A,FALSE,"Tabl. FB300";#N/A,#N/A,FALSE,"Tabl. FB350";#N/A,#N/A,FALSE,"Tabl. FB400";#N/A,#N/A,FALSE,"Tabl. FB500";#N/A,#N/A,FALSE,"Tabl. FS090"}</definedName>
    <definedName name="__tab5" hidden="1">{#N/A,#N/A,FALSE,"Tabl. FB300";#N/A,#N/A,FALSE,"Tabl. FB350";#N/A,#N/A,FALSE,"Tabl. FB400";#N/A,#N/A,FALSE,"Tabl. FB500";#N/A,#N/A,FALSE,"Tabl. FS090"}</definedName>
    <definedName name="__tab653" localSheetId="0" hidden="1">{#N/A,#N/A,FALSE,"Tabl. G1";#N/A,#N/A,FALSE,"Tabl. G2"}</definedName>
    <definedName name="__tab653" hidden="1">{#N/A,#N/A,FALSE,"Tabl. G1";#N/A,#N/A,FALSE,"Tabl. G2"}</definedName>
    <definedName name="__TAB67" localSheetId="0" hidden="1">{#N/A,#N/A,FALSE,"Tabl. A1";#N/A,#N/A,FALSE,"Tabl. A1 b";#N/A,#N/A,FALSE,"Tabl. A2";#N/A,#N/A,FALSE,"Tabl. A2-1";#N/A,#N/A,FALSE,"Tabl. A2-2"}</definedName>
    <definedName name="__TAB67" hidden="1">{#N/A,#N/A,FALSE,"Tabl. A1";#N/A,#N/A,FALSE,"Tabl. A1 b";#N/A,#N/A,FALSE,"Tabl. A2";#N/A,#N/A,FALSE,"Tabl. A2-1";#N/A,#N/A,FALSE,"Tabl. A2-2"}</definedName>
    <definedName name="__tab678" localSheetId="0" hidden="1">{#N/A,#N/A,FALSE,"Tabl. FB300";#N/A,#N/A,FALSE,"Tabl. FB350";#N/A,#N/A,FALSE,"Tabl. FB400";#N/A,#N/A,FALSE,"Tabl. FB500";#N/A,#N/A,FALSE,"Tabl. FS090"}</definedName>
    <definedName name="__tab678" hidden="1">{#N/A,#N/A,FALSE,"Tabl. FB300";#N/A,#N/A,FALSE,"Tabl. FB350";#N/A,#N/A,FALSE,"Tabl. FB400";#N/A,#N/A,FALSE,"Tabl. FB500";#N/A,#N/A,FALSE,"Tabl. FS090"}</definedName>
    <definedName name="__tab7" localSheetId="0" hidden="1">{#N/A,#N/A,FALSE,"Tabl. FB300";#N/A,#N/A,FALSE,"Tabl. FB350";#N/A,#N/A,FALSE,"Tabl. FB400";#N/A,#N/A,FALSE,"Tabl. FB500";#N/A,#N/A,FALSE,"Tabl. FS090"}</definedName>
    <definedName name="__tab7" hidden="1">{#N/A,#N/A,FALSE,"Tabl. FB300";#N/A,#N/A,FALSE,"Tabl. FB350";#N/A,#N/A,FALSE,"Tabl. FB400";#N/A,#N/A,FALSE,"Tabl. FB500";#N/A,#N/A,FALSE,"Tabl. FS090"}</definedName>
    <definedName name="__tab78" localSheetId="0" hidden="1">{#N/A,#N/A,FALSE,"Tabl. D1";#N/A,#N/A,FALSE,"Tabl. D1 b";#N/A,#N/A,FALSE,"Tabl. D2";#N/A,#N/A,FALSE,"Tabl. D2 b";#N/A,#N/A,FALSE,"Tabl. D3";#N/A,#N/A,FALSE,"Tabl. D4";#N/A,#N/A,FALSE,"Tabl. D5"}</definedName>
    <definedName name="__tab78" hidden="1">{#N/A,#N/A,FALSE,"Tabl. D1";#N/A,#N/A,FALSE,"Tabl. D1 b";#N/A,#N/A,FALSE,"Tabl. D2";#N/A,#N/A,FALSE,"Tabl. D2 b";#N/A,#N/A,FALSE,"Tabl. D3";#N/A,#N/A,FALSE,"Tabl. D4";#N/A,#N/A,FALSE,"Tabl. D5"}</definedName>
    <definedName name="__TAB8" localSheetId="0" hidden="1">{#N/A,#N/A,FALSE,"Tabl. FB300";#N/A,#N/A,FALSE,"Tabl. FB350";#N/A,#N/A,FALSE,"Tabl. FB400";#N/A,#N/A,FALSE,"Tabl. FB500";#N/A,#N/A,FALSE,"Tabl. FS090"}</definedName>
    <definedName name="__TAB8" hidden="1">{#N/A,#N/A,FALSE,"Tabl. FB300";#N/A,#N/A,FALSE,"Tabl. FB350";#N/A,#N/A,FALSE,"Tabl. FB400";#N/A,#N/A,FALSE,"Tabl. FB500";#N/A,#N/A,FALSE,"Tabl. FS090"}</definedName>
    <definedName name="__tab80" localSheetId="0" hidden="1">{#N/A,#N/A,FALSE,"Tabl. FB300";#N/A,#N/A,FALSE,"Tabl. FB350";#N/A,#N/A,FALSE,"Tabl. FB400";#N/A,#N/A,FALSE,"Tabl. FB500";#N/A,#N/A,FALSE,"Tabl. FS090"}</definedName>
    <definedName name="__tab80" hidden="1">{#N/A,#N/A,FALSE,"Tabl. FB300";#N/A,#N/A,FALSE,"Tabl. FB350";#N/A,#N/A,FALSE,"Tabl. FB400";#N/A,#N/A,FALSE,"Tabl. FB500";#N/A,#N/A,FALSE,"Tabl. FS090"}</definedName>
    <definedName name="__TAB90" localSheetId="0" hidden="1">{#N/A,#N/A,FALSE,"Tabl. H1";#N/A,#N/A,FALSE,"Tabl. H2"}</definedName>
    <definedName name="__TAB90" hidden="1">{#N/A,#N/A,FALSE,"Tabl. H1";#N/A,#N/A,FALSE,"Tabl. H2"}</definedName>
    <definedName name="__tab98" localSheetId="0" hidden="1">{#N/A,#N/A,FALSE,"Tabl. A1";#N/A,#N/A,FALSE,"Tabl. A1 b";#N/A,#N/A,FALSE,"Tabl. A2";#N/A,#N/A,FALSE,"Tabl. A2-1";#N/A,#N/A,FALSE,"Tabl. A2-2"}</definedName>
    <definedName name="__tab98" hidden="1">{#N/A,#N/A,FALSE,"Tabl. A1";#N/A,#N/A,FALSE,"Tabl. A1 b";#N/A,#N/A,FALSE,"Tabl. A2";#N/A,#N/A,FALSE,"Tabl. A2-1";#N/A,#N/A,FALSE,"Tabl. A2-2"}</definedName>
    <definedName name="__tab987" localSheetId="0" hidden="1">{#N/A,#N/A,FALSE,"Tabl. G1";#N/A,#N/A,FALSE,"Tabl. G2"}</definedName>
    <definedName name="__tab987" hidden="1">{#N/A,#N/A,FALSE,"Tabl. G1";#N/A,#N/A,FALSE,"Tabl. G2"}</definedName>
    <definedName name="_asd1" localSheetId="0" hidden="1">{#N/A,#N/A,FALSE,"DCF Summary";#N/A,#N/A,FALSE,"Casema";#N/A,#N/A,FALSE,"Casema NoTel";#N/A,#N/A,FALSE,"UK";#N/A,#N/A,FALSE,"RCF";#N/A,#N/A,FALSE,"Intercable CZ";#N/A,#N/A,FALSE,"Interkabel P"}</definedName>
    <definedName name="_asd1" hidden="1">{#N/A,#N/A,FALSE,"DCF Summary";#N/A,#N/A,FALSE,"Casema";#N/A,#N/A,FALSE,"Casema NoTel";#N/A,#N/A,FALSE,"UK";#N/A,#N/A,FALSE,"RCF";#N/A,#N/A,FALSE,"Intercable CZ";#N/A,#N/A,FALSE,"Interkabel P"}</definedName>
    <definedName name="_bat67" localSheetId="0" hidden="1">{#N/A,#N/A,FALSE,"Tabl. D1";#N/A,#N/A,FALSE,"Tabl. D1 b";#N/A,#N/A,FALSE,"Tabl. D2";#N/A,#N/A,FALSE,"Tabl. D2 b";#N/A,#N/A,FALSE,"Tabl. D3";#N/A,#N/A,FALSE,"Tabl. D4";#N/A,#N/A,FALSE,"Tabl. D5"}</definedName>
    <definedName name="_bat67" hidden="1">{#N/A,#N/A,FALSE,"Tabl. D1";#N/A,#N/A,FALSE,"Tabl. D1 b";#N/A,#N/A,FALSE,"Tabl. D2";#N/A,#N/A,FALSE,"Tabl. D2 b";#N/A,#N/A,FALSE,"Tabl. D3";#N/A,#N/A,FALSE,"Tabl. D4";#N/A,#N/A,FALSE,"Tabl. D5"}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Fill" hidden="1">#REF!</definedName>
    <definedName name="_xlnm._FilterDatabase" localSheetId="0" hidden="1">GC!$B$23:$K$23</definedName>
    <definedName name="_FU_Label" hidden="1">#REF!</definedName>
    <definedName name="_FV_Label" hidden="1">#REF!</definedName>
    <definedName name="_Key1" hidden="1">#REF!</definedName>
    <definedName name="_NM09" localSheetId="0" hidden="1">{#N/A,#N/A,FALSE,"Tabl. D1";#N/A,#N/A,FALSE,"Tabl. D1 b";#N/A,#N/A,FALSE,"Tabl. D2";#N/A,#N/A,FALSE,"Tabl. D2 b";#N/A,#N/A,FALSE,"Tabl. D3";#N/A,#N/A,FALSE,"Tabl. D4";#N/A,#N/A,FALSE,"Tabl. D5"}</definedName>
    <definedName name="_NM09" hidden="1">{#N/A,#N/A,FALSE,"Tabl. D1";#N/A,#N/A,FALSE,"Tabl. D1 b";#N/A,#N/A,FALSE,"Tabl. D2";#N/A,#N/A,FALSE,"Tabl. D2 b";#N/A,#N/A,FALSE,"Tabl. D3";#N/A,#N/A,FALSE,"Tabl. D4";#N/A,#N/A,FALSE,"Tabl. D5"}</definedName>
    <definedName name="_NR_Label" hidden="1">#REF!</definedName>
    <definedName name="_Order1" hidden="1">255</definedName>
    <definedName name="_Order2" hidden="1">0</definedName>
    <definedName name="_Pie1_Label" hidden="1">#REF!</definedName>
    <definedName name="_Regression_Int" hidden="1">1</definedName>
    <definedName name="_Sort" hidden="1">#REF!</definedName>
    <definedName name="_taa34" localSheetId="0" hidden="1">{#N/A,#N/A,FALSE,"Tabl. G1";#N/A,#N/A,FALSE,"Tabl. G2"}</definedName>
    <definedName name="_taa34" hidden="1">{#N/A,#N/A,FALSE,"Tabl. G1";#N/A,#N/A,FALSE,"Tabl. G2"}</definedName>
    <definedName name="_tab09" localSheetId="0" hidden="1">{#N/A,#N/A,FALSE,"Tabl. FB300";#N/A,#N/A,FALSE,"Tabl. FB350";#N/A,#N/A,FALSE,"Tabl. FB400";#N/A,#N/A,FALSE,"Tabl. FB500";#N/A,#N/A,FALSE,"Tabl. FS090"}</definedName>
    <definedName name="_tab09" hidden="1">{#N/A,#N/A,FALSE,"Tabl. FB300";#N/A,#N/A,FALSE,"Tabl. FB350";#N/A,#N/A,FALSE,"Tabl. FB400";#N/A,#N/A,FALSE,"Tabl. FB500";#N/A,#N/A,FALSE,"Tabl. FS090"}</definedName>
    <definedName name="_TAB120" localSheetId="0" hidden="1">{#N/A,#N/A,FALSE,"Tabl. FB300";#N/A,#N/A,FALSE,"Tabl. FB350";#N/A,#N/A,FALSE,"Tabl. FB400";#N/A,#N/A,FALSE,"Tabl. FB500";#N/A,#N/A,FALSE,"Tabl. FS090"}</definedName>
    <definedName name="_TAB120" hidden="1">{#N/A,#N/A,FALSE,"Tabl. FB300";#N/A,#N/A,FALSE,"Tabl. FB350";#N/A,#N/A,FALSE,"Tabl. FB400";#N/A,#N/A,FALSE,"Tabl. FB500";#N/A,#N/A,FALSE,"Tabl. FS090"}</definedName>
    <definedName name="_tab14" localSheetId="0" hidden="1">{#N/A,#N/A,FALSE,"Tabl. FB300";#N/A,#N/A,FALSE,"Tabl. FB350";#N/A,#N/A,FALSE,"Tabl. FB400";#N/A,#N/A,FALSE,"Tabl. FB500";#N/A,#N/A,FALSE,"Tabl. FS090"}</definedName>
    <definedName name="_tab14" hidden="1">{#N/A,#N/A,FALSE,"Tabl. FB300";#N/A,#N/A,FALSE,"Tabl. FB350";#N/A,#N/A,FALSE,"Tabl. FB400";#N/A,#N/A,FALSE,"Tabl. FB500";#N/A,#N/A,FALSE,"Tabl. FS090"}</definedName>
    <definedName name="_tab15" localSheetId="0" hidden="1">{#N/A,#N/A,FALSE,"Tabl. A1";#N/A,#N/A,FALSE,"Tabl. A1 b";#N/A,#N/A,FALSE,"Tabl. A2";#N/A,#N/A,FALSE,"Tabl. A2-1";#N/A,#N/A,FALSE,"Tabl. A2-2"}</definedName>
    <definedName name="_tab15" hidden="1">{#N/A,#N/A,FALSE,"Tabl. A1";#N/A,#N/A,FALSE,"Tabl. A1 b";#N/A,#N/A,FALSE,"Tabl. A2";#N/A,#N/A,FALSE,"Tabl. A2-1";#N/A,#N/A,FALSE,"Tabl. A2-2"}</definedName>
    <definedName name="_TAB20" localSheetId="0" hidden="1">{#N/A,#N/A,FALSE,"Tabl. D1";#N/A,#N/A,FALSE,"Tabl. D1 b";#N/A,#N/A,FALSE,"Tabl. D2";#N/A,#N/A,FALSE,"Tabl. D2 b";#N/A,#N/A,FALSE,"Tabl. D3";#N/A,#N/A,FALSE,"Tabl. D4";#N/A,#N/A,FALSE,"Tabl. D5"}</definedName>
    <definedName name="_TAB20" hidden="1">{#N/A,#N/A,FALSE,"Tabl. D1";#N/A,#N/A,FALSE,"Tabl. D1 b";#N/A,#N/A,FALSE,"Tabl. D2";#N/A,#N/A,FALSE,"Tabl. D2 b";#N/A,#N/A,FALSE,"Tabl. D3";#N/A,#N/A,FALSE,"Tabl. D4";#N/A,#N/A,FALSE,"Tabl. D5"}</definedName>
    <definedName name="_tab2341" localSheetId="0" hidden="1">{#N/A,#N/A,FALSE,"Tabl. FB300";#N/A,#N/A,FALSE,"Tabl. FB350";#N/A,#N/A,FALSE,"Tabl. FB400";#N/A,#N/A,FALSE,"Tabl. FB500";#N/A,#N/A,FALSE,"Tabl. FS090"}</definedName>
    <definedName name="_tab2341" hidden="1">{#N/A,#N/A,FALSE,"Tabl. FB300";#N/A,#N/A,FALSE,"Tabl. FB350";#N/A,#N/A,FALSE,"Tabl. FB400";#N/A,#N/A,FALSE,"Tabl. FB500";#N/A,#N/A,FALSE,"Tabl. FS090"}</definedName>
    <definedName name="_tab26" localSheetId="0" hidden="1">{#N/A,#N/A,FALSE,"Tabl. H1";#N/A,#N/A,FALSE,"Tabl. H2"}</definedName>
    <definedName name="_tab26" hidden="1">{#N/A,#N/A,FALSE,"Tabl. H1";#N/A,#N/A,FALSE,"Tabl. H2"}</definedName>
    <definedName name="_tab27" localSheetId="0" hidden="1">{#N/A,#N/A,FALSE,"Tabl. D1";#N/A,#N/A,FALSE,"Tabl. D1 b";#N/A,#N/A,FALSE,"Tabl. D2";#N/A,#N/A,FALSE,"Tabl. D2 b";#N/A,#N/A,FALSE,"Tabl. D3";#N/A,#N/A,FALSE,"Tabl. D4";#N/A,#N/A,FALSE,"Tabl. D5"}</definedName>
    <definedName name="_tab27" hidden="1">{#N/A,#N/A,FALSE,"Tabl. D1";#N/A,#N/A,FALSE,"Tabl. D1 b";#N/A,#N/A,FALSE,"Tabl. D2";#N/A,#N/A,FALSE,"Tabl. D2 b";#N/A,#N/A,FALSE,"Tabl. D3";#N/A,#N/A,FALSE,"Tabl. D4";#N/A,#N/A,FALSE,"Tabl. D5"}</definedName>
    <definedName name="_TAB3" localSheetId="0" hidden="1">{#N/A,#N/A,FALSE,"Tabl. FB300";#N/A,#N/A,FALSE,"Tabl. FB350";#N/A,#N/A,FALSE,"Tabl. FB400";#N/A,#N/A,FALSE,"Tabl. FB500";#N/A,#N/A,FALSE,"Tabl. FS090"}</definedName>
    <definedName name="_TAB3" hidden="1">{#N/A,#N/A,FALSE,"Tabl. FB300";#N/A,#N/A,FALSE,"Tabl. FB350";#N/A,#N/A,FALSE,"Tabl. FB400";#N/A,#N/A,FALSE,"Tabl. FB500";#N/A,#N/A,FALSE,"Tabl. FS090"}</definedName>
    <definedName name="_tab32" localSheetId="0" hidden="1">{#N/A,#N/A,FALSE,"Tabl. H1";#N/A,#N/A,FALSE,"Tabl. H2"}</definedName>
    <definedName name="_tab32" hidden="1">{#N/A,#N/A,FALSE,"Tabl. H1";#N/A,#N/A,FALSE,"Tabl. H2"}</definedName>
    <definedName name="_tab36" localSheetId="0" hidden="1">{#N/A,#N/A,FALSE,"Tabl. A1";#N/A,#N/A,FALSE,"Tabl. A1 b";#N/A,#N/A,FALSE,"Tabl. A2";#N/A,#N/A,FALSE,"Tabl. A2-1";#N/A,#N/A,FALSE,"Tabl. A2-2"}</definedName>
    <definedName name="_tab36" hidden="1">{#N/A,#N/A,FALSE,"Tabl. A1";#N/A,#N/A,FALSE,"Tabl. A1 b";#N/A,#N/A,FALSE,"Tabl. A2";#N/A,#N/A,FALSE,"Tabl. A2-1";#N/A,#N/A,FALSE,"Tabl. A2-2"}</definedName>
    <definedName name="_tab37" localSheetId="0" hidden="1">{#N/A,#N/A,FALSE,"Tabl. G1";#N/A,#N/A,FALSE,"Tabl. G2"}</definedName>
    <definedName name="_tab37" hidden="1">{#N/A,#N/A,FALSE,"Tabl. G1";#N/A,#N/A,FALSE,"Tabl. G2"}</definedName>
    <definedName name="_tab4" localSheetId="0" hidden="1">{#N/A,#N/A,FALSE,"Tabl. FB300";#N/A,#N/A,FALSE,"Tabl. FB350";#N/A,#N/A,FALSE,"Tabl. FB400";#N/A,#N/A,FALSE,"Tabl. FB500";#N/A,#N/A,FALSE,"Tabl. FS090"}</definedName>
    <definedName name="_tab4" hidden="1">{#N/A,#N/A,FALSE,"Tabl. FB300";#N/A,#N/A,FALSE,"Tabl. FB350";#N/A,#N/A,FALSE,"Tabl. FB400";#N/A,#N/A,FALSE,"Tabl. FB500";#N/A,#N/A,FALSE,"Tabl. FS090"}</definedName>
    <definedName name="_tab40" localSheetId="0" hidden="1">{#N/A,#N/A,FALSE,"Tabl. FB300";#N/A,#N/A,FALSE,"Tabl. FB350";#N/A,#N/A,FALSE,"Tabl. FB400";#N/A,#N/A,FALSE,"Tabl. FB500";#N/A,#N/A,FALSE,"Tabl. FS090"}</definedName>
    <definedName name="_tab40" hidden="1">{#N/A,#N/A,FALSE,"Tabl. FB300";#N/A,#N/A,FALSE,"Tabl. FB350";#N/A,#N/A,FALSE,"Tabl. FB400";#N/A,#N/A,FALSE,"Tabl. FB500";#N/A,#N/A,FALSE,"Tabl. FS090"}</definedName>
    <definedName name="_tab43" localSheetId="0" hidden="1">{#N/A,#N/A,FALSE,"Tabl. D1";#N/A,#N/A,FALSE,"Tabl. D1 b";#N/A,#N/A,FALSE,"Tabl. D2";#N/A,#N/A,FALSE,"Tabl. D2 b";#N/A,#N/A,FALSE,"Tabl. D3";#N/A,#N/A,FALSE,"Tabl. D4";#N/A,#N/A,FALSE,"Tabl. D5"}</definedName>
    <definedName name="_tab43" hidden="1">{#N/A,#N/A,FALSE,"Tabl. D1";#N/A,#N/A,FALSE,"Tabl. D1 b";#N/A,#N/A,FALSE,"Tabl. D2";#N/A,#N/A,FALSE,"Tabl. D2 b";#N/A,#N/A,FALSE,"Tabl. D3";#N/A,#N/A,FALSE,"Tabl. D4";#N/A,#N/A,FALSE,"Tabl. D5"}</definedName>
    <definedName name="_tab45" localSheetId="0" hidden="1">{#N/A,#N/A,FALSE,"Tabl. A1";#N/A,#N/A,FALSE,"Tabl. A1 b";#N/A,#N/A,FALSE,"Tabl. A2";#N/A,#N/A,FALSE,"Tabl. A2-1";#N/A,#N/A,FALSE,"Tabl. A2-2"}</definedName>
    <definedName name="_tab45" hidden="1">{#N/A,#N/A,FALSE,"Tabl. A1";#N/A,#N/A,FALSE,"Tabl. A1 b";#N/A,#N/A,FALSE,"Tabl. A2";#N/A,#N/A,FALSE,"Tabl. A2-1";#N/A,#N/A,FALSE,"Tabl. A2-2"}</definedName>
    <definedName name="_tab5" localSheetId="0" hidden="1">{#N/A,#N/A,FALSE,"Tabl. FB300";#N/A,#N/A,FALSE,"Tabl. FB350";#N/A,#N/A,FALSE,"Tabl. FB400";#N/A,#N/A,FALSE,"Tabl. FB500";#N/A,#N/A,FALSE,"Tabl. FS090"}</definedName>
    <definedName name="_tab5" hidden="1">{#N/A,#N/A,FALSE,"Tabl. FB300";#N/A,#N/A,FALSE,"Tabl. FB350";#N/A,#N/A,FALSE,"Tabl. FB400";#N/A,#N/A,FALSE,"Tabl. FB500";#N/A,#N/A,FALSE,"Tabl. FS090"}</definedName>
    <definedName name="_tab653" localSheetId="0" hidden="1">{#N/A,#N/A,FALSE,"Tabl. G1";#N/A,#N/A,FALSE,"Tabl. G2"}</definedName>
    <definedName name="_tab653" hidden="1">{#N/A,#N/A,FALSE,"Tabl. G1";#N/A,#N/A,FALSE,"Tabl. G2"}</definedName>
    <definedName name="_TAB67" localSheetId="0" hidden="1">{#N/A,#N/A,FALSE,"Tabl. A1";#N/A,#N/A,FALSE,"Tabl. A1 b";#N/A,#N/A,FALSE,"Tabl. A2";#N/A,#N/A,FALSE,"Tabl. A2-1";#N/A,#N/A,FALSE,"Tabl. A2-2"}</definedName>
    <definedName name="_TAB67" hidden="1">{#N/A,#N/A,FALSE,"Tabl. A1";#N/A,#N/A,FALSE,"Tabl. A1 b";#N/A,#N/A,FALSE,"Tabl. A2";#N/A,#N/A,FALSE,"Tabl. A2-1";#N/A,#N/A,FALSE,"Tabl. A2-2"}</definedName>
    <definedName name="_tab678" localSheetId="0" hidden="1">{#N/A,#N/A,FALSE,"Tabl. FB300";#N/A,#N/A,FALSE,"Tabl. FB350";#N/A,#N/A,FALSE,"Tabl. FB400";#N/A,#N/A,FALSE,"Tabl. FB500";#N/A,#N/A,FALSE,"Tabl. FS090"}</definedName>
    <definedName name="_tab678" hidden="1">{#N/A,#N/A,FALSE,"Tabl. FB300";#N/A,#N/A,FALSE,"Tabl. FB350";#N/A,#N/A,FALSE,"Tabl. FB400";#N/A,#N/A,FALSE,"Tabl. FB500";#N/A,#N/A,FALSE,"Tabl. FS090"}</definedName>
    <definedName name="_tab7" localSheetId="0" hidden="1">{#N/A,#N/A,FALSE,"Tabl. FB300";#N/A,#N/A,FALSE,"Tabl. FB350";#N/A,#N/A,FALSE,"Tabl. FB400";#N/A,#N/A,FALSE,"Tabl. FB500";#N/A,#N/A,FALSE,"Tabl. FS090"}</definedName>
    <definedName name="_tab7" hidden="1">{#N/A,#N/A,FALSE,"Tabl. FB300";#N/A,#N/A,FALSE,"Tabl. FB350";#N/A,#N/A,FALSE,"Tabl. FB400";#N/A,#N/A,FALSE,"Tabl. FB500";#N/A,#N/A,FALSE,"Tabl. FS090"}</definedName>
    <definedName name="_tab78" localSheetId="0" hidden="1">{#N/A,#N/A,FALSE,"Tabl. D1";#N/A,#N/A,FALSE,"Tabl. D1 b";#N/A,#N/A,FALSE,"Tabl. D2";#N/A,#N/A,FALSE,"Tabl. D2 b";#N/A,#N/A,FALSE,"Tabl. D3";#N/A,#N/A,FALSE,"Tabl. D4";#N/A,#N/A,FALSE,"Tabl. D5"}</definedName>
    <definedName name="_tab78" hidden="1">{#N/A,#N/A,FALSE,"Tabl. D1";#N/A,#N/A,FALSE,"Tabl. D1 b";#N/A,#N/A,FALSE,"Tabl. D2";#N/A,#N/A,FALSE,"Tabl. D2 b";#N/A,#N/A,FALSE,"Tabl. D3";#N/A,#N/A,FALSE,"Tabl. D4";#N/A,#N/A,FALSE,"Tabl. D5"}</definedName>
    <definedName name="_TAB8" localSheetId="0" hidden="1">{#N/A,#N/A,FALSE,"Tabl. FB300";#N/A,#N/A,FALSE,"Tabl. FB350";#N/A,#N/A,FALSE,"Tabl. FB400";#N/A,#N/A,FALSE,"Tabl. FB500";#N/A,#N/A,FALSE,"Tabl. FS090"}</definedName>
    <definedName name="_TAB8" hidden="1">{#N/A,#N/A,FALSE,"Tabl. FB300";#N/A,#N/A,FALSE,"Tabl. FB350";#N/A,#N/A,FALSE,"Tabl. FB400";#N/A,#N/A,FALSE,"Tabl. FB500";#N/A,#N/A,FALSE,"Tabl. FS090"}</definedName>
    <definedName name="_tab80" localSheetId="0" hidden="1">{#N/A,#N/A,FALSE,"Tabl. FB300";#N/A,#N/A,FALSE,"Tabl. FB350";#N/A,#N/A,FALSE,"Tabl. FB400";#N/A,#N/A,FALSE,"Tabl. FB500";#N/A,#N/A,FALSE,"Tabl. FS090"}</definedName>
    <definedName name="_tab80" hidden="1">{#N/A,#N/A,FALSE,"Tabl. FB300";#N/A,#N/A,FALSE,"Tabl. FB350";#N/A,#N/A,FALSE,"Tabl. FB400";#N/A,#N/A,FALSE,"Tabl. FB500";#N/A,#N/A,FALSE,"Tabl. FS090"}</definedName>
    <definedName name="_TAB90" localSheetId="0" hidden="1">{#N/A,#N/A,FALSE,"Tabl. H1";#N/A,#N/A,FALSE,"Tabl. H2"}</definedName>
    <definedName name="_TAB90" hidden="1">{#N/A,#N/A,FALSE,"Tabl. H1";#N/A,#N/A,FALSE,"Tabl. H2"}</definedName>
    <definedName name="_tab98" localSheetId="0" hidden="1">{#N/A,#N/A,FALSE,"Tabl. A1";#N/A,#N/A,FALSE,"Tabl. A1 b";#N/A,#N/A,FALSE,"Tabl. A2";#N/A,#N/A,FALSE,"Tabl. A2-1";#N/A,#N/A,FALSE,"Tabl. A2-2"}</definedName>
    <definedName name="_tab98" hidden="1">{#N/A,#N/A,FALSE,"Tabl. A1";#N/A,#N/A,FALSE,"Tabl. A1 b";#N/A,#N/A,FALSE,"Tabl. A2";#N/A,#N/A,FALSE,"Tabl. A2-1";#N/A,#N/A,FALSE,"Tabl. A2-2"}</definedName>
    <definedName name="_tab987" localSheetId="0" hidden="1">{#N/A,#N/A,FALSE,"Tabl. G1";#N/A,#N/A,FALSE,"Tabl. G2"}</definedName>
    <definedName name="_tab987" hidden="1">{#N/A,#N/A,FALSE,"Tabl. G1";#N/A,#N/A,FALSE,"Tabl. G2"}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aa" localSheetId="0" hidden="1">{#N/A,#N/A,FALSE,"Sheet1"}</definedName>
    <definedName name="aa" hidden="1">{#N/A,#N/A,FALSE,"Sheet1"}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C" localSheetId="0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AC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AccessDatabase" hidden="1">"C:\Documents and Settings\Usai\Desktop\scheda_and.mdb"</definedName>
    <definedName name="af" localSheetId="0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af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amortizare" hidden="1">#REF!</definedName>
    <definedName name="anscount" hidden="1">1</definedName>
    <definedName name="Ap_input_22R" localSheetId="0" hidden="1">{#N/A,#N/A,FALSE,"Sheet1"}</definedName>
    <definedName name="Ap_input_22R" hidden="1">{#N/A,#N/A,FALSE,"Sheet1"}</definedName>
    <definedName name="AS2DocOpenMode" hidden="1">"AS2DocumentEdit"</definedName>
    <definedName name="asd" localSheetId="0" hidden="1">{#N/A,#N/A,FALSE,"DCF Summary";#N/A,#N/A,FALSE,"Casema";#N/A,#N/A,FALSE,"Casema NoTel";#N/A,#N/A,FALSE,"UK";#N/A,#N/A,FALSE,"RCF";#N/A,#N/A,FALSE,"Intercable CZ";#N/A,#N/A,FALSE,"Interkabel P"}</definedName>
    <definedName name="asd" hidden="1">{#N/A,#N/A,FALSE,"DCF Summary";#N/A,#N/A,FALSE,"Casema";#N/A,#N/A,FALSE,"Casema NoTel";#N/A,#N/A,FALSE,"UK";#N/A,#N/A,FALSE,"RCF";#N/A,#N/A,FALSE,"Intercable CZ";#N/A,#N/A,FALSE,"Interkabel P"}</definedName>
    <definedName name="bat67_evolFev2005" localSheetId="0" hidden="1">{#N/A,#N/A,FALSE,"Tabl. D1";#N/A,#N/A,FALSE,"Tabl. D1 b";#N/A,#N/A,FALSE,"Tabl. D2";#N/A,#N/A,FALSE,"Tabl. D2 b";#N/A,#N/A,FALSE,"Tabl. D3";#N/A,#N/A,FALSE,"Tabl. D4";#N/A,#N/A,FALSE,"Tabl. D5"}</definedName>
    <definedName name="bat67_evolFev2005" hidden="1">{#N/A,#N/A,FALSE,"Tabl. D1";#N/A,#N/A,FALSE,"Tabl. D1 b";#N/A,#N/A,FALSE,"Tabl. D2";#N/A,#N/A,FALSE,"Tabl. D2 b";#N/A,#N/A,FALSE,"Tabl. D3";#N/A,#N/A,FALSE,"Tabl. D4";#N/A,#N/A,FALSE,"Tabl. D5"}</definedName>
    <definedName name="BATEAU" localSheetId="0" hidden="1">{#N/A,#N/A,FALSE,"Tabl. G1";#N/A,#N/A,FALSE,"Tabl. G2"}</definedName>
    <definedName name="BATEAU" hidden="1">{#N/A,#N/A,FALSE,"Tabl. G1";#N/A,#N/A,FALSE,"Tabl. G2"}</definedName>
    <definedName name="BATEAU_evolFev2005" localSheetId="0" hidden="1">{#N/A,#N/A,FALSE,"Tabl. G1";#N/A,#N/A,FALSE,"Tabl. G2"}</definedName>
    <definedName name="BATEAU_evolFev2005" hidden="1">{#N/A,#N/A,FALSE,"Tabl. G1";#N/A,#N/A,FALSE,"Tabl. G2"}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2" hidden="1">#REF!</definedName>
    <definedName name="BLPH3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ook2" localSheetId="0" hidden="1">{#N/A,#N/A,FALSE,"Sheet1"}</definedName>
    <definedName name="book2" hidden="1">{#N/A,#N/A,FALSE,"Sheet1"}</definedName>
    <definedName name="canot" localSheetId="0" hidden="1">{#N/A,#N/A,FALSE,"Tabl. FB300";#N/A,#N/A,FALSE,"Tabl. FB350";#N/A,#N/A,FALSE,"Tabl. FB400";#N/A,#N/A,FALSE,"Tabl. FB500";#N/A,#N/A,FALSE,"Tabl. FS090"}</definedName>
    <definedName name="canot" hidden="1">{#N/A,#N/A,FALSE,"Tabl. FB300";#N/A,#N/A,FALSE,"Tabl. FB350";#N/A,#N/A,FALSE,"Tabl. FB400";#N/A,#N/A,FALSE,"Tabl. FB500";#N/A,#N/A,FALSE,"Tabl. FS090"}</definedName>
    <definedName name="CCY" hidden="1">#REF!</definedName>
    <definedName name="CIQWBGuid" hidden="1">"04ab8e97-d64d-46bd-be64-4e929adbcb73"</definedName>
    <definedName name="customer_type" hidden="1">#REF!</definedName>
    <definedName name="DCF" localSheetId="0" hidden="1">{#N/A,#N/A,FALSE,"DCF Summary";#N/A,#N/A,FALSE,"Casema";#N/A,#N/A,FALSE,"Casema NoTel";#N/A,#N/A,FALSE,"UK";#N/A,#N/A,FALSE,"RCF";#N/A,#N/A,FALSE,"Intercable CZ";#N/A,#N/A,FALSE,"Interkabel P"}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ff" localSheetId="0" hidden="1">{#N/A,#N/A,FALSE,"DCF Summary";#N/A,#N/A,FALSE,"Casema";#N/A,#N/A,FALSE,"Casema NoTel";#N/A,#N/A,FALSE,"UK";#N/A,#N/A,FALSE,"RCF";#N/A,#N/A,FALSE,"Intercable CZ";#N/A,#N/A,FALSE,"Interkabel P"}</definedName>
    <definedName name="dcff" hidden="1">{#N/A,#N/A,FALSE,"DCF Summary";#N/A,#N/A,FALSE,"Casema";#N/A,#N/A,FALSE,"Casema NoTel";#N/A,#N/A,FALSE,"UK";#N/A,#N/A,FALSE,"RCF";#N/A,#N/A,FALSE,"Intercable CZ";#N/A,#N/A,FALSE,"Interkabel P"}</definedName>
    <definedName name="dfd" localSheetId="0" hidden="1">{#N/A,#N/A,FALSE,"Aging Summary";#N/A,#N/A,FALSE,"Ratio Analysis";#N/A,#N/A,FALSE,"Test 120 Day Accts";#N/A,#N/A,FALSE,"Tickmarks"}</definedName>
    <definedName name="dfd" hidden="1">{#N/A,#N/A,FALSE,"Aging Summary";#N/A,#N/A,FALSE,"Ratio Analysis";#N/A,#N/A,FALSE,"Test 120 Day Accts";#N/A,#N/A,FALSE,"Tickmarks"}</definedName>
    <definedName name="dfdfg" localSheetId="0" hidden="1">{#N/A,#N/A,FALSE,"Aging Summary";#N/A,#N/A,FALSE,"Ratio Analysis";#N/A,#N/A,FALSE,"Test 120 Day Accts";#N/A,#N/A,FALSE,"Tickmarks"}</definedName>
    <definedName name="dfdfg" hidden="1">{#N/A,#N/A,FALSE,"Aging Summary";#N/A,#N/A,FALSE,"Ratio Analysis";#N/A,#N/A,FALSE,"Test 120 Day Accts";#N/A,#N/A,FALSE,"Tickmarks"}</definedName>
    <definedName name="edp" localSheetId="0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fddf" localSheetId="0" hidden="1">{"celkový rozpočet - detail",#N/A,FALSE,"Aktualizace č. 1"}</definedName>
    <definedName name="fddf" hidden="1">{"celkový rozpočet - detail",#N/A,FALSE,"Aktualizace č. 1"}</definedName>
    <definedName name="ffsgsdgsd" localSheetId="0" hidden="1">{#N/A,#N/A,FALSE,"Aging Summary";#N/A,#N/A,FALSE,"Ratio Analysis";#N/A,#N/A,FALSE,"Test 120 Day Accts";#N/A,#N/A,FALSE,"Tickmarks"}</definedName>
    <definedName name="ffsgsdgsd" hidden="1">{#N/A,#N/A,FALSE,"Aging Summary";#N/A,#N/A,FALSE,"Ratio Analysis";#N/A,#N/A,FALSE,"Test 120 Day Accts";#N/A,#N/A,FALSE,"Tickmarks"}</definedName>
    <definedName name="fggfdfgf" localSheetId="0" hidden="1">{#N/A,#N/A,FALSE,"Aging Summary";#N/A,#N/A,FALSE,"Ratio Analysis";#N/A,#N/A,FALSE,"Test 120 Day Accts";#N/A,#N/A,FALSE,"Tickmarks"}</definedName>
    <definedName name="fggfdfgf" hidden="1">{#N/A,#N/A,FALSE,"Aging Summary";#N/A,#N/A,FALSE,"Ratio Analysis";#N/A,#N/A,FALSE,"Test 120 Day Accts";#N/A,#N/A,FALSE,"Tickmarks"}</definedName>
    <definedName name="fghk" localSheetId="0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fghk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flows" hidden="1">#REF!</definedName>
    <definedName name="gggg" localSheetId="0" hidden="1">{#N/A,#N/A,FALSE,"Aging Summary";#N/A,#N/A,FALSE,"Ratio Analysis";#N/A,#N/A,FALSE,"Test 120 Day Accts";#N/A,#N/A,FALSE,"Tickmarks"}</definedName>
    <definedName name="gggg" hidden="1">{#N/A,#N/A,FALSE,"Aging Summary";#N/A,#N/A,FALSE,"Ratio Analysis";#N/A,#N/A,FALSE,"Test 120 Day Accts";#N/A,#N/A,FALSE,"Tickmarks"}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H" localSheetId="0" hidden="1">{#N/A,#N/A,FALSE,"Aging Summary";#N/A,#N/A,FALSE,"Ratio Analysis";#N/A,#N/A,FALSE,"Test 120 Day Accts";#N/A,#N/A,FALSE,"Tickmarks"}</definedName>
    <definedName name="H" hidden="1">{#N/A,#N/A,FALSE,"Aging Summary";#N/A,#N/A,FALSE,"Ratio Analysis";#N/A,#N/A,FALSE,"Test 120 Day Accts";#N/A,#N/A,FALSE,"Tickmarks"}</definedName>
    <definedName name="Header1" hidden="1">IF(COUNTA(#REF!)=0,0,INDEX(#REF!,MATCH(ROW(#REF!),#REF!,TRUE)))+1</definedName>
    <definedName name="Header2" hidden="1">#REF!-1 &amp; "." &amp; MAX(1,COUNTA(INDEX(#REF!,MATCH(#REF!-1,#REF!,FALSE)):#REF!))</definedName>
    <definedName name="hhhsdf" localSheetId="0" hidden="1">{"up stand alones",#N/A,FALSE,"Acquiror"}</definedName>
    <definedName name="hhhsdf" hidden="1">{"up stand alones",#N/A,FALSE,"Acquiror"}</definedName>
    <definedName name="HTML_CodePage" hidden="1">1252</definedName>
    <definedName name="HTML_Control" localSheetId="0" hidden="1">{"'SEGPROD'!$A$20:$E$30","'SEGPROD'!$A$4:$I$17"}</definedName>
    <definedName name="HTML_Control" hidden="1">{"'SEGPROD'!$A$20:$E$30","'SEGPROD'!$A$4:$I$17"}</definedName>
    <definedName name="HTML_Description" hidden="1">""</definedName>
    <definedName name="HTML_Email" hidden="1">""</definedName>
    <definedName name="HTML_Header" hidden="1">"PRODUCTES EN SEGUIMENT"</definedName>
    <definedName name="HTML_LastUpdate" hidden="1">"22/07/2002"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"L:\GRUP CONTROLLER\INFORMACIÓ DIÀRIA\INTRANET\HTML12.htm"</definedName>
    <definedName name="HTML_Title" hidden="1">"SEGPROD 19_07_02 V"</definedName>
    <definedName name="champ" localSheetId="0" hidden="1">{#N/A,#N/A,FALSE,"Tabl. G1";#N/A,#N/A,FALSE,"Tabl. G2"}</definedName>
    <definedName name="champ" hidden="1">{#N/A,#N/A,FALSE,"Tabl. G1";#N/A,#N/A,FALSE,"Tabl. G2"}</definedName>
    <definedName name="IQ_ADDIN" hidden="1">"AUTO"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CAPEX_BR" hidden="1">"c111"</definedName>
    <definedName name="IQ_CASH_OPER_ACT_OR_EST" hidden="1">"c4164"</definedName>
    <definedName name="IQ_COMMON_APIC_BR" hidden="1">"c185"</definedName>
    <definedName name="IQ_COMMON_ISSUED_BR" hidden="1">"c199"</definedName>
    <definedName name="IQ_COMMON_REP_BR" hidden="1">"c208"</definedName>
    <definedName name="IQ_CQ" hidden="1">5000</definedName>
    <definedName name="IQ_CURRENCY_GAIN_BR" hidden="1">"c236"</definedName>
    <definedName name="IQ_CURRENT_PORT_DEBT_BR" hidden="1">"c1567"</definedName>
    <definedName name="IQ_CY" hidden="1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 hidden="1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BT_BR" hidden="1">"c378"</definedName>
    <definedName name="IQ_EBT_EXCL_BR" hidden="1">"c381"</definedName>
    <definedName name="IQ_EST_ACT_FFO_THOM" hidden="1">"c4005"</definedName>
    <definedName name="IQ_EST_FFO_DIFF_THOM" hidden="1">"c5186"</definedName>
    <definedName name="IQ_EST_FFO_SURPRISE_PERCENT_THOM" hidden="1">"c5187"</definedName>
    <definedName name="IQ_EXTRA_ACC_ITEMS_BR" hidden="1">"c412"</definedName>
    <definedName name="IQ_FFO_EST_THOM" hidden="1">"c3999"</definedName>
    <definedName name="IQ_FFO_HIGH_EST_THOM" hidden="1">"c4001"</definedName>
    <definedName name="IQ_FFO_LOW_EST_THOM" hidden="1">"c4002"</definedName>
    <definedName name="IQ_FFO_MEDIAN_EST_THOM" hidden="1">"c4000"</definedName>
    <definedName name="IQ_FFO_NUM_EST_THOM" hidden="1">"c4003"</definedName>
    <definedName name="IQ_FFO_STDDEV_EST_THOM" hidden="1">"c4004"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CH" hidden="1">110000</definedName>
    <definedName name="IQ_CHANGE_AP_BR" hidden="1">"c135"</definedName>
    <definedName name="IQ_CHANGE_AR_BR" hidden="1">"c142"</definedName>
    <definedName name="IQ_CHANGE_OTHER_NET_OPER_ASSETS_BR" hidden="1">"c3595"</definedName>
    <definedName name="IQ_CHANGE_OTHER_WORK_CAP_BR" hidden="1">"c154"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VEST_LOANS_CF_BR" hidden="1">"c630"</definedName>
    <definedName name="IQ_INVEST_SECURITY_CF_BR" hidden="1">"c639"</definedName>
    <definedName name="IQ_LATESTK" hidden="1">1000</definedName>
    <definedName name="IQ_LATESTQ" hidden="1">500</definedName>
    <definedName name="IQ_LEGAL_SETTLE_BR" hidden="1">"c649"</definedName>
    <definedName name="IQ_LOANS_CF_BR" hidden="1">"c661"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 hidden="1">2000</definedName>
    <definedName name="IQ_LTMMONTH" hidden="1">120000</definedName>
    <definedName name="IQ_MAINT_CAPEX_ACT_OR_EST" hidden="1">"c4458"</definedName>
    <definedName name="IQ_MERGER_BR" hidden="1">"c715"</definedName>
    <definedName name="IQ_MERGER_RESTRUCTURE_BR" hidden="1">"c721"</definedName>
    <definedName name="IQ_MINORITY_INTEREST_BR" hidden="1">"c729"</definedName>
    <definedName name="IQ_MONTH" hidden="1">15000</definedName>
    <definedName name="IQ_MTD" hidden="1">800000</definedName>
    <definedName name="IQ_NAMES_REVISION_DATE_" hidden="1">"04/25/2015 17:36:19"</definedName>
    <definedName name="IQ_NET_DEBT_ISSUED_BR" hidden="1">"c753"</definedName>
    <definedName name="IQ_NET_INT_INC_BR" hidden="1">"c765"</definedName>
    <definedName name="IQ_NTM" hidden="1">6000</definedName>
    <definedName name="IQ_OPENED55" hidden="1">1</definedName>
    <definedName name="IQ_OPER_INC_BR" hidden="1">"c850"</definedName>
    <definedName name="IQ_OTHER_AMORT_BR" hidden="1">"c5566"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REF_ISSUED_BR" hidden="1">"c1047"</definedName>
    <definedName name="IQ_PREF_OTHER_BR" hidden="1">"c1055"</definedName>
    <definedName name="IQ_PREF_REP_BR" hidden="1">"c1062"</definedName>
    <definedName name="IQ_QTD" hidden="1">750000</definedName>
    <definedName name="IQ_RESTRUCTURE_BR" hidden="1">"c1106"</definedName>
    <definedName name="IQ_RETURN_ASSETS_BROK" hidden="1">"c1115"</definedName>
    <definedName name="IQ_RETURN_EQUITY_BROK" hidden="1">"c1120"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REV_BR" hidden="1">"c1303"</definedName>
    <definedName name="IQ_TOTAL_UNUSUAL_BR" hidden="1">"c5517"</definedName>
    <definedName name="IQ_TREASURY_OTHER_EQUITY_BR" hidden="1">"c1314"</definedName>
    <definedName name="IQ_UNEARN_REV_CURRENT_BR" hidden="1">"c1324"</definedName>
    <definedName name="IQ_WEEK" hidden="1">50000</definedName>
    <definedName name="IQ_YTD" hidden="1">3000</definedName>
    <definedName name="IQ_YTDMONTH" hidden="1">130000</definedName>
    <definedName name="isto2" localSheetId="0" hidden="1">{"up stand alones",#N/A,FALSE,"Acquiror"}</definedName>
    <definedName name="isto2" hidden="1">{"up stand alones",#N/A,FALSE,"Acquiror"}</definedName>
    <definedName name="jaime" localSheetId="0" hidden="1">{#N/A,#N/A,FALSE,"DCF Summary";#N/A,#N/A,FALSE,"Casema";#N/A,#N/A,FALSE,"Casema NoTel";#N/A,#N/A,FALSE,"UK";#N/A,#N/A,FALSE,"RCF";#N/A,#N/A,FALSE,"Intercable CZ";#N/A,#N/A,FALSE,"Interkabel P"}</definedName>
    <definedName name="jaime" hidden="1">{#N/A,#N/A,FALSE,"DCF Summary";#N/A,#N/A,FALSE,"Casema";#N/A,#N/A,FALSE,"Casema NoTel";#N/A,#N/A,FALSE,"UK";#N/A,#N/A,FALSE,"RCF";#N/A,#N/A,FALSE,"Intercable CZ";#N/A,#N/A,FALSE,"Interkabel P"}</definedName>
    <definedName name="kjlkjlkj" hidden="1">#REF!</definedName>
    <definedName name="nn" localSheetId="0" hidden="1">{#N/A,#N/A,FALSE,"Sheet1"}</definedName>
    <definedName name="nn" hidden="1">{#N/A,#N/A,FALSE,"Sheet1"}</definedName>
    <definedName name="noidea" localSheetId="0" hidden="1">{#N/A,#N/A,FALSE,"Calc";#N/A,#N/A,FALSE,"Sensitivity";#N/A,#N/A,FALSE,"LT Earn.Dil.";#N/A,#N/A,FALSE,"Dil. AVP"}</definedName>
    <definedName name="noidea" hidden="1">{#N/A,#N/A,FALSE,"Calc";#N/A,#N/A,FALSE,"Sensitivity";#N/A,#N/A,FALSE,"LT Earn.Dil.";#N/A,#N/A,FALSE,"Dil. AVP"}</definedName>
    <definedName name="Nov_Dec_2003_MRF" localSheetId="0" hidden="1">{#N/A,#N/A,FALSE,"Sheet1"}</definedName>
    <definedName name="Nov_Dec_2003_MRF" hidden="1">{#N/A,#N/A,FALSE,"Sheet1"}</definedName>
    <definedName name="o" localSheetId="0" hidden="1">{#N/A,#N/A,FALSE,"Tabl. FB300";#N/A,#N/A,FALSE,"Tabl. FB350";#N/A,#N/A,FALSE,"Tabl. FB400";#N/A,#N/A,FALSE,"Tabl. FB500";#N/A,#N/A,FALSE,"Tabl. FS090"}</definedName>
    <definedName name="o" hidden="1">{#N/A,#N/A,FALSE,"Tabl. FB300";#N/A,#N/A,FALSE,"Tabl. FB350";#N/A,#N/A,FALSE,"Tabl. FB400";#N/A,#N/A,FALSE,"Tabl. FB500";#N/A,#N/A,FALSE,"Tabl. FS090"}</definedName>
    <definedName name="opop" hidden="1">#REF!</definedName>
    <definedName name="OPU" hidden="1">#REF!</definedName>
    <definedName name="perbolag" localSheetId="0" hidden="1">{#N/A,#N/A,FALSE,"intag";#N/A,#N/A,FALSE,"budg";#N/A,#N/A,FALSE,"samtl"}</definedName>
    <definedName name="perbolag" hidden="1">{#N/A,#N/A,FALSE,"intag";#N/A,#N/A,FALSE,"budg";#N/A,#N/A,FALSE,"samtl"}</definedName>
    <definedName name="performanta" hidden="1">#REF!</definedName>
    <definedName name="Plante" localSheetId="0" hidden="1">{#N/A,#N/A,FALSE,"Tabl. G1";#N/A,#N/A,FALSE,"Tabl. G2"}</definedName>
    <definedName name="Plante" hidden="1">{#N/A,#N/A,FALSE,"Tabl. G1";#N/A,#N/A,FALSE,"Tabl. G2"}</definedName>
    <definedName name="pluie" localSheetId="0" hidden="1">{#N/A,#N/A,FALSE,"Tabl. H1";#N/A,#N/A,FALSE,"Tabl. H2"}</definedName>
    <definedName name="pluie" hidden="1">{#N/A,#N/A,FALSE,"Tabl. H1";#N/A,#N/A,FALSE,"Tabl. H2"}</definedName>
    <definedName name="_xlnm.Print_Area" localSheetId="1">'Summary&amp;CF_SICAV'!$C$2:$K$119</definedName>
    <definedName name="PSC" hidden="1">#REF!</definedName>
    <definedName name="PUB_FileID" hidden="1">"L10003363.xls"</definedName>
    <definedName name="PUB_UserID" hidden="1">"MAYERX"</definedName>
    <definedName name="redo" localSheetId="0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giune" hidden="1">#REF!</definedName>
    <definedName name="RkM" hidden="1">#REF!</definedName>
    <definedName name="rt" hidden="1">#REF!</definedName>
    <definedName name="SAPBEXrevision" hidden="1">2</definedName>
    <definedName name="SAPBEXsysID" hidden="1">"SWP"</definedName>
    <definedName name="SAPBEXwbID" hidden="1">"76RABF1UNCQ8Y0638PFU2EPU2"</definedName>
    <definedName name="sda" hidden="1">#REF!</definedName>
    <definedName name="sdf" localSheetId="0" hidden="1">{#N/A,#N/A,FALSE,"Calc";#N/A,#N/A,FALSE,"Sensitivity";#N/A,#N/A,FALSE,"LT Earn.Dil.";#N/A,#N/A,FALSE,"Dil. AVP"}</definedName>
    <definedName name="sdf" hidden="1">{#N/A,#N/A,FALSE,"Calc";#N/A,#N/A,FALSE,"Sensitivity";#N/A,#N/A,FALSE,"LT Earn.Dil.";#N/A,#N/A,FALSE,"Dil. AVP"}</definedName>
    <definedName name="sencount" hidden="1">1</definedName>
    <definedName name="shit" localSheetId="0" hidden="1">{#N/A,#N/A,FALSE,"Aging Summary";#N/A,#N/A,FALSE,"Ratio Analysis";#N/A,#N/A,FALSE,"Test 120 Day Accts";#N/A,#N/A,FALSE,"Tickmarks"}</definedName>
    <definedName name="shit" hidden="1">{#N/A,#N/A,FALSE,"Aging Summary";#N/A,#N/A,FALSE,"Ratio Analysis";#N/A,#N/A,FALSE,"Test 120 Day Accts";#N/A,#N/A,FALSE,"Tickmarks"}</definedName>
    <definedName name="shit1" localSheetId="0" hidden="1">{#N/A,#N/A,FALSE,"Aging Summary";#N/A,#N/A,FALSE,"Ratio Analysis";#N/A,#N/A,FALSE,"Test 120 Day Accts";#N/A,#N/A,FALSE,"Tickmarks"}</definedName>
    <definedName name="shit1" hidden="1">{#N/A,#N/A,FALSE,"Aging Summary";#N/A,#N/A,FALSE,"Ratio Analysis";#N/A,#N/A,FALSE,"Test 120 Day Accts";#N/A,#N/A,FALSE,"Tickmarks"}</definedName>
    <definedName name="Smlouvy" localSheetId="0" hidden="1">{"celkový rozpočet - detail",#N/A,FALSE,"Aktualizace č. 1"}</definedName>
    <definedName name="Smlouvy" hidden="1">{"celkový rozpočet - detail",#N/A,FALSE,"Aktualizace č. 1"}</definedName>
    <definedName name="ss" localSheetId="0" hidden="1">{"away stand alones",#N/A,FALSE,"Target"}</definedName>
    <definedName name="ss" hidden="1">{"away stand alones",#N/A,FALSE,"Target"}</definedName>
    <definedName name="status" hidden="1">#REF!</definedName>
    <definedName name="T" localSheetId="0" hidden="1">{#N/A,#N/A,FALSE,"Aging Summary";#N/A,#N/A,FALSE,"Ratio Analysis";#N/A,#N/A,FALSE,"Test 120 Day Accts";#N/A,#N/A,FALSE,"Tickmarks"}</definedName>
    <definedName name="T" hidden="1">{#N/A,#N/A,FALSE,"Aging Summary";#N/A,#N/A,FALSE,"Ratio Analysis";#N/A,#N/A,FALSE,"Test 120 Day Accts";#N/A,#N/A,FALSE,"Tickmarks"}</definedName>
    <definedName name="tab" localSheetId="0" hidden="1">{#N/A,#N/A,FALSE,"Tabl. G1";#N/A,#N/A,FALSE,"Tabl. G2"}</definedName>
    <definedName name="tab" hidden="1">{#N/A,#N/A,FALSE,"Tabl. G1";#N/A,#N/A,FALSE,"Tabl. G2"}</definedName>
    <definedName name="TABL00" localSheetId="0" hidden="1">{#N/A,#N/A,FALSE,"Tabl. D1";#N/A,#N/A,FALSE,"Tabl. D1 b";#N/A,#N/A,FALSE,"Tabl. D2";#N/A,#N/A,FALSE,"Tabl. D2 b";#N/A,#N/A,FALSE,"Tabl. D3";#N/A,#N/A,FALSE,"Tabl. D4";#N/A,#N/A,FALSE,"Tabl. D5"}</definedName>
    <definedName name="TABL00" hidden="1">{#N/A,#N/A,FALSE,"Tabl. D1";#N/A,#N/A,FALSE,"Tabl. D1 b";#N/A,#N/A,FALSE,"Tabl. D2";#N/A,#N/A,FALSE,"Tabl. D2 b";#N/A,#N/A,FALSE,"Tabl. D3";#N/A,#N/A,FALSE,"Tabl. D4";#N/A,#N/A,FALSE,"Tabl. D5"}</definedName>
    <definedName name="tableé" localSheetId="0" hidden="1">{#N/A,#N/A,FALSE,"Tabl. G1";#N/A,#N/A,FALSE,"Tabl. G2"}</definedName>
    <definedName name="tableé" hidden="1">{#N/A,#N/A,FALSE,"Tabl. G1";#N/A,#N/A,FALSE,"Tabl. G2"}</definedName>
    <definedName name="test" localSheetId="0" hidden="1">{#N/A,#N/A,FALSE,"Aging Summary";#N/A,#N/A,FALSE,"Ratio Analysis";#N/A,#N/A,FALSE,"Test 120 Day Accts";#N/A,#N/A,FALSE,"Tickmarks"}</definedName>
    <definedName name="test" hidden="1">{#N/A,#N/A,FALSE,"Aging Summary";#N/A,#N/A,FALSE,"Ratio Analysis";#N/A,#N/A,FALSE,"Test 120 Day Accts";#N/A,#N/A,FALSE,"Tickmarks"}</definedName>
    <definedName name="Validation_list" hidden="1">#REF!</definedName>
    <definedName name="Validation_loan_ccy" hidden="1">#REF!</definedName>
    <definedName name="Validation_loan_status" hidden="1">#REF!</definedName>
    <definedName name="VANES" localSheetId="0" hidden="1">{#N/A,#N/A,FALSE,"Tabl. A1";#N/A,#N/A,FALSE,"Tabl. A1 b";#N/A,#N/A,FALSE,"Tabl. A2";#N/A,#N/A,FALSE,"Tabl. A2-1";#N/A,#N/A,FALSE,"Tabl. A2-2"}</definedName>
    <definedName name="VANES" hidden="1">{#N/A,#N/A,FALSE,"Tabl. A1";#N/A,#N/A,FALSE,"Tabl. A1 b";#N/A,#N/A,FALSE,"Tabl. A2";#N/A,#N/A,FALSE,"Tabl. A2-1";#N/A,#N/A,FALSE,"Tabl. A2-2"}</definedName>
    <definedName name="vannes" localSheetId="0" hidden="1">{#N/A,#N/A,FALSE,"Tabl. G1";#N/A,#N/A,FALSE,"Tabl. G2"}</definedName>
    <definedName name="vannes" hidden="1">{#N/A,#N/A,FALSE,"Tabl. G1";#N/A,#N/A,FALSE,"Tabl. G2"}</definedName>
    <definedName name="wrn" localSheetId="0" hidden="1">{#N/A,#N/A,FALSE,"DCF Summary";#N/A,#N/A,FALSE,"Casema";#N/A,#N/A,FALSE,"Casema NoTel";#N/A,#N/A,FALSE,"UK";#N/A,#N/A,FALSE,"RCF";#N/A,#N/A,FALSE,"Intercable CZ";#N/A,#N/A,FALSE,"Interkabel P"}</definedName>
    <definedName name="wrn" hidden="1">{#N/A,#N/A,FALSE,"DCF Summary";#N/A,#N/A,FALSE,"Casema";#N/A,#N/A,FALSE,"Casema NoTel";#N/A,#N/A,FALSE,"UK";#N/A,#N/A,FALSE,"RCF";#N/A,#N/A,FALSE,"Intercable CZ";#N/A,#N/A,FALSE,"Interkabel P"}</definedName>
    <definedName name="wrn.1." localSheetId="0" hidden="1">{#N/A,#N/A,FALSE,"Calc";#N/A,#N/A,FALSE,"Sensitivity";#N/A,#N/A,FALSE,"LT Earn.Dil.";#N/A,#N/A,FALSE,"Dil. AVP"}</definedName>
    <definedName name="wrn.1." hidden="1">{#N/A,#N/A,FALSE,"Calc";#N/A,#N/A,FALSE,"Sensitivity";#N/A,#N/A,FALSE,"LT Earn.Dil.";#N/A,#N/A,FALSE,"Dil. AVP"}</definedName>
    <definedName name="wrn.50._.50." localSheetId="0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ANBIEDING." localSheetId="0" hidden="1">{#N/A,#N/A,FALSE,"Besr Frek Graph";#N/A,#N/A,FALSE,"OMV Verslag Graf";#N/A,#N/A,FALSE,"Klagtes Graf";#N/A,#N/A,FALSE,"KV - Kostes Graf"}</definedName>
    <definedName name="wrn.AANBIEDING." hidden="1">{#N/A,#N/A,FALSE,"Besr Frek Graph";#N/A,#N/A,FALSE,"OMV Verslag Graf";#N/A,#N/A,FALSE,"Klagtes Graf";#N/A,#N/A,FALSE,"KV - Kostes Graf"}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1" localSheetId="0" hidden="1">{#N/A,#N/A,FALSE,"Aging Summary";#N/A,#N/A,FALSE,"Ratio Analysis";#N/A,#N/A,FALSE,"Test 120 Day Accts";#N/A,#N/A,FALSE,"Tickmarks"}</definedName>
    <definedName name="wrn.aging._.and._.Trend._.Analysis1" hidden="1">{#N/A,#N/A,FALSE,"Aging Summary";#N/A,#N/A,FALSE,"Ratio Analysis";#N/A,#N/A,FALSE,"Test 120 Day Accts";#N/A,#N/A,FALSE,"Tickmarks"}</definedName>
    <definedName name="wrn.ALL." localSheetId="0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comps." localSheetId="0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nnualRentRoll" localSheetId="0" hidden="1">{"AnnualRentRoll",#N/A,FALSE,"RentRoll"}</definedName>
    <definedName name="wrn.AnnualRentRoll" hidden="1">{"AnnualRentRoll",#N/A,FALSE,"RentRoll"}</definedName>
    <definedName name="wrn.AnnualRentRoll." localSheetId="0" hidden="1">{"AnnualRentRoll",#N/A,FALSE,"RentRoll"}</definedName>
    <definedName name="wrn.AnnualRentRoll." hidden="1">{"AnnualRentRoll",#N/A,FALSE,"RentRoll"}</definedName>
    <definedName name="wrn.away." localSheetId="0" hidden="1">{"away stand alones",#N/A,FALSE,"Target"}</definedName>
    <definedName name="wrn.away." hidden="1">{"away stand alones",#N/A,FALSE,"Target"}</definedName>
    <definedName name="wrn.Bedryf._.Weekverslag." localSheetId="0" hidden="1">{#N/A,#N/A,FALSE,"Voorblad";#N/A,#N/A,FALSE,"KW Grafieke";#N/A,#N/A,FALSE,"MW Grafieke";#N/A,#N/A,FALSE,"DW Grafieke";#N/A,#N/A,FALSE,"SW Grafieke";#N/A,#N/A,FALSE,"Prod Teg Grafieke"}</definedName>
    <definedName name="wrn.Bedryf._.Weekverslag." hidden="1">{#N/A,#N/A,FALSE,"Voorblad";#N/A,#N/A,FALSE,"KW Grafieke";#N/A,#N/A,FALSE,"MW Grafieke";#N/A,#N/A,FALSE,"DW Grafieke";#N/A,#N/A,FALSE,"SW Grafieke";#N/A,#N/A,FALSE,"Prod Teg Grafieke"}</definedName>
    <definedName name="wrn.BOOK1.XLS." localSheetId="0" hidden="1">{#N/A,#N/A,FALSE,"Sheet1"}</definedName>
    <definedName name="wrn.BOOK1.XLS." hidden="1">{#N/A,#N/A,FALSE,"Sheet1"}</definedName>
    <definedName name="wrn.cash." localSheetId="0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elkový._.tisk._.detail." localSheetId="0" hidden="1">{"celkový rozpočet - detail",#N/A,FALSE,"Aktualizace č. 1"}</definedName>
    <definedName name="wrn.celkový._.tisk._.detail." hidden="1">{"celkový rozpočet - detail",#N/A,FALSE,"Aktualizace č. 1"}</definedName>
    <definedName name="wrn.COMBINED." localSheetId="0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plet." localSheetId="0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wrn.complet.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il_anal." localSheetId="0" hidden="1">{"hiden",#N/A,FALSE,"14";"hidden",#N/A,FALSE,"16";"hidden",#N/A,FALSE,"18";"hidden",#N/A,FALSE,"20"}</definedName>
    <definedName name="wrn.dil_anal." hidden="1">{"hiden",#N/A,FALSE,"14";"hidden",#N/A,FALSE,"16";"hidden",#N/A,FALSE,"18";"hidden",#N/A,FALSE,"20"}</definedName>
    <definedName name="wrn.document." localSheetId="0" hidden="1">{"comp",#N/A,FALSE,"SPEC";"footnotes",#N/A,FALSE,"SPEC"}</definedName>
    <definedName name="wrn.document." hidden="1">{"comp",#N/A,FALSE,"SPEC";"footnotes",#N/A,FALSE,"SPEC"}</definedName>
    <definedName name="wrn.documentaero." localSheetId="0" hidden="1">{"comps2",#N/A,FALSE,"AERO";"footnotes",#N/A,FALSE,"AERO"}</definedName>
    <definedName name="wrn.documentaero." hidden="1">{"comps2",#N/A,FALSE,"AERO";"footnotes",#N/A,FALSE,"AERO"}</definedName>
    <definedName name="wrn.documenthand." localSheetId="0" hidden="1">{"comps",#N/A,FALSE,"HANDPACK";"footnotes",#N/A,FALSE,"HANDPACK"}</definedName>
    <definedName name="wrn.documenthand." hidden="1">{"comps",#N/A,FALSE,"HANDPACK";"footnotes",#N/A,FALSE,"HANDPACK"}</definedName>
    <definedName name="wrn.Druk._.Totale._.Begroting." localSheetId="0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wrn.Druk._.Totale._.Begroting.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wrn.equity._.comps." localSheetId="0" hidden="1">{"equity comps",#N/A,FALSE,"CS Comps";"equity comps",#N/A,FALSE,"PS Comps";"equity comps",#N/A,FALSE,"GIC_Comps";"equity comps",#N/A,FALSE,"GIC2_Comps"}</definedName>
    <definedName name="wrn.equity._.comps." hidden="1">{"equity comps",#N/A,FALSE,"CS Comps";"equity comps",#N/A,FALSE,"PS Comps";"equity comps",#N/A,FALSE,"GIC_Comps";"equity comps",#N/A,FALSE,"GIC2_Comps"}</definedName>
    <definedName name="wrn.ESTADOS._.FINANCIEROS." localSheetId="0" hidden="1">{#N/A,#N/A,FALSE,"ACTIVO - hoja 1";#N/A,#N/A,FALSE,"ACTIVO - hoja 2";#N/A,#N/A,FALSE,"PASIVO - hoja 1";#N/A,#N/A,FALSE,"PASIVO - hoja 2";#N/A,#N/A,FALSE,"GASTOS - hoja 1 ";#N/A,#N/A,FALSE,"GASTOS - hoja 2";#N/A,#N/A,FALSE,"INGRESOS - hoja 1 ";#N/A,#N/A,FALSE,"INGRESOS - hoja 2"}</definedName>
    <definedName name="wrn.ESTADOS._.FINANCIEROS." hidden="1">{#N/A,#N/A,FALSE,"ACTIVO - hoja 1";#N/A,#N/A,FALSE,"ACTIVO - hoja 2";#N/A,#N/A,FALSE,"PASIVO - hoja 1";#N/A,#N/A,FALSE,"PASIVO - hoja 2";#N/A,#N/A,FALSE,"GASTOS - hoja 1 ";#N/A,#N/A,FALSE,"GASTOS - hoja 2";#N/A,#N/A,FALSE,"INGRESOS - hoja 1 ";#N/A,#N/A,FALSE,"INGRESOS - hoja 2"}</definedName>
    <definedName name="wrn.ExitAndSalesAssumptions." localSheetId="0" hidden="1">{#N/A,#N/A,FALSE,"ExitStratigy"}</definedName>
    <definedName name="wrn.ExitAndSalesAssumptions." hidden="1">{#N/A,#N/A,FALSE,"ExitStratigy"}</definedName>
    <definedName name="wrn.GRAPHS." localSheetId="0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LoanInformation." localSheetId="0" hidden="1">{#N/A,#N/A,FALSE,"LoanAssumptions"}</definedName>
    <definedName name="wrn.LoanInformation." hidden="1">{#N/A,#N/A,FALSE,"LoanAssumptions"}</definedName>
    <definedName name="wrn.merger." localSheetId="0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RentRoll." localSheetId="0" hidden="1">{"MonthlyRentRoll",#N/A,FALSE,"RentRoll"}</definedName>
    <definedName name="wrn.MonthlyRentRoll." hidden="1">{"MonthlyRentRoll",#N/A,FALSE,"RentRoll"}</definedName>
    <definedName name="wrn.OperatingAssumtions." localSheetId="0" hidden="1">{#N/A,#N/A,FALSE,"OperatingAssumptions"}</definedName>
    <definedName name="wrn.OperatingAssumtions." hidden="1">{#N/A,#N/A,FALSE,"OperatingAssumptions"}</definedName>
    <definedName name="wrn.pr3sty." localSheetId="0" hidden="1">{#N/A,#N/A,FALSE,"intag";#N/A,#N/A,FALSE,"budg";#N/A,#N/A,FALSE,"samtl"}</definedName>
    <definedName name="wrn.pr3sty." hidden="1">{#N/A,#N/A,FALSE,"intag";#N/A,#N/A,FALSE,"budg";#N/A,#N/A,FALSE,"samtl"}</definedName>
    <definedName name="wrn.Presentation." localSheetId="0" hidden="1">{#N/A,#N/A,TRUE,"Summary";"AnnualRentRoll",#N/A,TRUE,"RentRoll";#N/A,#N/A,TRUE,"ExitStratigy";#N/A,#N/A,TRUE,"OperatingAssumptions"}</definedName>
    <definedName name="wrn.Presentation." hidden="1">{#N/A,#N/A,TRUE,"Summary";"AnnualRentRoll",#N/A,TRUE,"RentRoll";#N/A,#N/A,TRUE,"ExitStratigy";#N/A,#N/A,TRUE,"OperatingAssumptions"}</definedName>
    <definedName name="wrn.Printall." localSheetId="0" hidden="1">{#N/A,#N/A,FALSE,"INDEX";#N/A,#N/A,FALSE,"AGENDA";#N/A,#N/A,FALSE,"Participants";#N/A,#N/A,FALSE,"Preparations";#N/A,#N/A,FALSE,"KIP - Configuration";#N/A,#N/A,FALSE,"KIP - Performance";#N/A,#N/A,FALSE,"KIP - Operating";#N/A,#N/A,FALSE,"Topic Sheet List";#N/A,#N/A,FALSE,"Data Topic Sheet"}</definedName>
    <definedName name="wrn.Printall." hidden="1">{#N/A,#N/A,FALSE,"INDEX";#N/A,#N/A,FALSE,"AGENDA";#N/A,#N/A,FALSE,"Participants";#N/A,#N/A,FALSE,"Preparations";#N/A,#N/A,FALSE,"KIP - Configuration";#N/A,#N/A,FALSE,"KIP - Performance";#N/A,#N/A,FALSE,"KIP - Operating";#N/A,#N/A,FALSE,"Topic Sheet List";#N/A,#N/A,FALSE,"Data Topic Sheet"}</definedName>
    <definedName name="wrn.PropertyInformation." localSheetId="0" hidden="1">{#N/A,#N/A,FALSE,"PropertyInfo"}</definedName>
    <definedName name="wrn.PropertyInformation." hidden="1">{#N/A,#N/A,FALSE,"PropertyInfo"}</definedName>
    <definedName name="wrn.Summary." localSheetId="0" hidden="1">{#N/A,#N/A,FALSE,"Summary"}</definedName>
    <definedName name="wrn.Summary." hidden="1">{#N/A,#N/A,FALSE,"Summary"}</definedName>
    <definedName name="wrn.Tableaux._.A." localSheetId="0" hidden="1">{#N/A,#N/A,FALSE,"Tabl. A1";#N/A,#N/A,FALSE,"Tabl. A1 b";#N/A,#N/A,FALSE,"Tabl. A2";#N/A,#N/A,FALSE,"Tabl. A2-1";#N/A,#N/A,FALSE,"Tabl. A2-2"}</definedName>
    <definedName name="wrn.Tableaux._.A." hidden="1">{#N/A,#N/A,FALSE,"Tabl. A1";#N/A,#N/A,FALSE,"Tabl. A1 b";#N/A,#N/A,FALSE,"Tabl. A2";#N/A,#N/A,FALSE,"Tabl. A2-1";#N/A,#N/A,FALSE,"Tabl. A2-2"}</definedName>
    <definedName name="wrn.Tableaux._.D." localSheetId="0" hidden="1">{#N/A,#N/A,FALSE,"Tabl. D1";#N/A,#N/A,FALSE,"Tabl. D1 b";#N/A,#N/A,FALSE,"Tabl. D2";#N/A,#N/A,FALSE,"Tabl. D2 b";#N/A,#N/A,FALSE,"Tabl. D3";#N/A,#N/A,FALSE,"Tabl. D4";#N/A,#N/A,FALSE,"Tabl. D5"}</definedName>
    <definedName name="wrn.Tableaux._.D." hidden="1">{#N/A,#N/A,FALSE,"Tabl. D1";#N/A,#N/A,FALSE,"Tabl. D1 b";#N/A,#N/A,FALSE,"Tabl. D2";#N/A,#N/A,FALSE,"Tabl. D2 b";#N/A,#N/A,FALSE,"Tabl. D3";#N/A,#N/A,FALSE,"Tabl. D4";#N/A,#N/A,FALSE,"Tabl. D5"}</definedName>
    <definedName name="wrn.Tableaux._.F." localSheetId="0" hidden="1">{#N/A,#N/A,FALSE,"Tabl. FB300";#N/A,#N/A,FALSE,"Tabl. FB350";#N/A,#N/A,FALSE,"Tabl. FB400";#N/A,#N/A,FALSE,"Tabl. FB500";#N/A,#N/A,FALSE,"Tabl. FS090"}</definedName>
    <definedName name="wrn.Tableaux._.F." hidden="1">{#N/A,#N/A,FALSE,"Tabl. FB300";#N/A,#N/A,FALSE,"Tabl. FB350";#N/A,#N/A,FALSE,"Tabl. FB400";#N/A,#N/A,FALSE,"Tabl. FB500";#N/A,#N/A,FALSE,"Tabl. FS090"}</definedName>
    <definedName name="wrn.Tableaux._.G." localSheetId="0" hidden="1">{#N/A,#N/A,FALSE,"Tabl. G1";#N/A,#N/A,FALSE,"Tabl. G2"}</definedName>
    <definedName name="wrn.Tableaux._.G." hidden="1">{#N/A,#N/A,FALSE,"Tabl. G1";#N/A,#N/A,FALSE,"Tabl. G2"}</definedName>
    <definedName name="wrn.Tableaux._.H." localSheetId="0" hidden="1">{#N/A,#N/A,FALSE,"Tabl. H1";#N/A,#N/A,FALSE,"Tabl. H2"}</definedName>
    <definedName name="wrn.Tableaux._.H." hidden="1">{#N/A,#N/A,FALSE,"Tabl. H1";#N/A,#N/A,FALSE,"Tabl. H2"}</definedName>
    <definedName name="wrn.totalcomp." localSheetId="0" hidden="1">{"comp1",#N/A,FALSE,"COMPS";"footnotes",#N/A,FALSE,"COMPS"}</definedName>
    <definedName name="wrn.totalcomp." hidden="1">{"comp1",#N/A,FALSE,"COMPS";"footnotes",#N/A,FALSE,"COMPS"}</definedName>
    <definedName name="wrn.up." localSheetId="0" hidden="1">{"up stand alones",#N/A,FALSE,"Acquiror"}</definedName>
    <definedName name="wrn.up." hidden="1">{"up stand alones",#N/A,FALSE,"Acquiror"}</definedName>
    <definedName name="wrn.VALUATION." localSheetId="0" hidden="1">{#N/A,#N/A,FALSE,"Valuation Assumptions";#N/A,#N/A,FALSE,"Summary";#N/A,#N/A,FALSE,"DCF";#N/A,#N/A,FALSE,"Valuation";#N/A,#N/A,FALSE,"WACC";#N/A,#N/A,FALSE,"UBVH";#N/A,#N/A,FALSE,"Free Cash Flow"}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xyz" localSheetId="0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xyz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5" l="1"/>
  <c r="C24" i="15"/>
  <c r="H24" i="15"/>
  <c r="E15" i="12"/>
  <c r="E16" i="12" s="1"/>
  <c r="E72" i="12"/>
  <c r="D125" i="12"/>
  <c r="H94" i="12"/>
  <c r="H93" i="12"/>
  <c r="E70" i="12" l="1"/>
  <c r="C25" i="15"/>
  <c r="F25" i="15" s="1"/>
  <c r="E79" i="12"/>
  <c r="I95" i="12" l="1"/>
  <c r="I94" i="12"/>
  <c r="C26" i="15"/>
  <c r="E25" i="15"/>
  <c r="E26" i="15"/>
  <c r="C27" i="15"/>
  <c r="E27" i="15" s="1"/>
  <c r="D25" i="15" l="1"/>
  <c r="G25" i="15" s="1"/>
  <c r="I25" i="15"/>
  <c r="D26" i="15"/>
  <c r="D27" i="15"/>
  <c r="C28" i="15"/>
  <c r="E28" i="15" s="1"/>
  <c r="AN245" i="12"/>
  <c r="AK245" i="12"/>
  <c r="AJ245" i="12"/>
  <c r="O245" i="12"/>
  <c r="P245" i="12" s="1"/>
  <c r="N245" i="12"/>
  <c r="AN244" i="12"/>
  <c r="AK244" i="12"/>
  <c r="AJ244" i="12"/>
  <c r="O244" i="12"/>
  <c r="P244" i="12" s="1"/>
  <c r="N244" i="12"/>
  <c r="AN243" i="12"/>
  <c r="AK243" i="12"/>
  <c r="AJ243" i="12"/>
  <c r="O243" i="12"/>
  <c r="P243" i="12" s="1"/>
  <c r="N243" i="12"/>
  <c r="AN242" i="12"/>
  <c r="AK242" i="12"/>
  <c r="AJ242" i="12"/>
  <c r="O242" i="12"/>
  <c r="P242" i="12" s="1"/>
  <c r="N242" i="12"/>
  <c r="AN241" i="12"/>
  <c r="AK241" i="12"/>
  <c r="AJ241" i="12"/>
  <c r="O241" i="12"/>
  <c r="P241" i="12" s="1"/>
  <c r="N241" i="12"/>
  <c r="AN240" i="12"/>
  <c r="AK240" i="12"/>
  <c r="AJ240" i="12"/>
  <c r="O240" i="12"/>
  <c r="P240" i="12" s="1"/>
  <c r="N240" i="12"/>
  <c r="AN239" i="12"/>
  <c r="AK239" i="12"/>
  <c r="AJ239" i="12"/>
  <c r="O239" i="12"/>
  <c r="P239" i="12" s="1"/>
  <c r="N239" i="12"/>
  <c r="AN238" i="12"/>
  <c r="AK238" i="12"/>
  <c r="AJ238" i="12"/>
  <c r="O238" i="12"/>
  <c r="P238" i="12" s="1"/>
  <c r="N238" i="12"/>
  <c r="AN237" i="12"/>
  <c r="AK237" i="12"/>
  <c r="AJ237" i="12"/>
  <c r="O237" i="12"/>
  <c r="P237" i="12" s="1"/>
  <c r="N237" i="12"/>
  <c r="AN236" i="12"/>
  <c r="AK236" i="12"/>
  <c r="AJ236" i="12"/>
  <c r="O236" i="12"/>
  <c r="P236" i="12" s="1"/>
  <c r="N236" i="12"/>
  <c r="AN235" i="12"/>
  <c r="AK235" i="12"/>
  <c r="AJ235" i="12"/>
  <c r="O235" i="12"/>
  <c r="P235" i="12" s="1"/>
  <c r="N235" i="12"/>
  <c r="AN234" i="12"/>
  <c r="AK234" i="12"/>
  <c r="AJ234" i="12"/>
  <c r="O234" i="12"/>
  <c r="P234" i="12" s="1"/>
  <c r="N234" i="12"/>
  <c r="AN233" i="12"/>
  <c r="AK233" i="12"/>
  <c r="AJ233" i="12"/>
  <c r="O233" i="12"/>
  <c r="P233" i="12" s="1"/>
  <c r="N233" i="12"/>
  <c r="AN232" i="12"/>
  <c r="AK232" i="12"/>
  <c r="AJ232" i="12"/>
  <c r="O232" i="12"/>
  <c r="P232" i="12" s="1"/>
  <c r="N232" i="12"/>
  <c r="AN231" i="12"/>
  <c r="AK231" i="12"/>
  <c r="AJ231" i="12"/>
  <c r="O231" i="12"/>
  <c r="P231" i="12" s="1"/>
  <c r="N231" i="12"/>
  <c r="AN230" i="12"/>
  <c r="AK230" i="12"/>
  <c r="AJ230" i="12"/>
  <c r="O230" i="12"/>
  <c r="P230" i="12" s="1"/>
  <c r="N230" i="12"/>
  <c r="AN229" i="12"/>
  <c r="AK229" i="12"/>
  <c r="AJ229" i="12"/>
  <c r="O229" i="12"/>
  <c r="P229" i="12" s="1"/>
  <c r="N229" i="12"/>
  <c r="AN228" i="12"/>
  <c r="AK228" i="12"/>
  <c r="AJ228" i="12"/>
  <c r="O228" i="12"/>
  <c r="P228" i="12" s="1"/>
  <c r="N228" i="12"/>
  <c r="AN227" i="12"/>
  <c r="AK227" i="12"/>
  <c r="AJ227" i="12"/>
  <c r="O227" i="12"/>
  <c r="P227" i="12" s="1"/>
  <c r="N227" i="12"/>
  <c r="AN226" i="12"/>
  <c r="AK226" i="12"/>
  <c r="AJ226" i="12"/>
  <c r="O226" i="12"/>
  <c r="P226" i="12" s="1"/>
  <c r="N226" i="12"/>
  <c r="AN225" i="12"/>
  <c r="AK225" i="12"/>
  <c r="AJ225" i="12"/>
  <c r="O225" i="12"/>
  <c r="P225" i="12" s="1"/>
  <c r="N225" i="12"/>
  <c r="AN224" i="12"/>
  <c r="AK224" i="12"/>
  <c r="AJ224" i="12"/>
  <c r="O224" i="12"/>
  <c r="P224" i="12" s="1"/>
  <c r="N224" i="12"/>
  <c r="AN223" i="12"/>
  <c r="AK223" i="12"/>
  <c r="AJ223" i="12"/>
  <c r="O223" i="12"/>
  <c r="P223" i="12" s="1"/>
  <c r="N223" i="12"/>
  <c r="AN222" i="12"/>
  <c r="AK222" i="12"/>
  <c r="AJ222" i="12"/>
  <c r="O222" i="12"/>
  <c r="P222" i="12" s="1"/>
  <c r="N222" i="12"/>
  <c r="AN221" i="12"/>
  <c r="AK221" i="12"/>
  <c r="AJ221" i="12"/>
  <c r="O221" i="12"/>
  <c r="P221" i="12" s="1"/>
  <c r="N221" i="12"/>
  <c r="AN220" i="12"/>
  <c r="AK220" i="12"/>
  <c r="AJ220" i="12"/>
  <c r="O220" i="12"/>
  <c r="P220" i="12" s="1"/>
  <c r="N220" i="12"/>
  <c r="AN219" i="12"/>
  <c r="AK219" i="12"/>
  <c r="AJ219" i="12"/>
  <c r="O219" i="12"/>
  <c r="P219" i="12" s="1"/>
  <c r="N219" i="12"/>
  <c r="AN218" i="12"/>
  <c r="AK218" i="12"/>
  <c r="AJ218" i="12"/>
  <c r="O218" i="12"/>
  <c r="P218" i="12" s="1"/>
  <c r="N218" i="12"/>
  <c r="AN217" i="12"/>
  <c r="AK217" i="12"/>
  <c r="AJ217" i="12"/>
  <c r="O217" i="12"/>
  <c r="P217" i="12" s="1"/>
  <c r="N217" i="12"/>
  <c r="AN216" i="12"/>
  <c r="AK216" i="12"/>
  <c r="AJ216" i="12"/>
  <c r="O216" i="12"/>
  <c r="P216" i="12" s="1"/>
  <c r="N216" i="12"/>
  <c r="AN215" i="12"/>
  <c r="AK215" i="12"/>
  <c r="AJ215" i="12"/>
  <c r="O215" i="12"/>
  <c r="P215" i="12" s="1"/>
  <c r="N215" i="12"/>
  <c r="AN214" i="12"/>
  <c r="AK214" i="12"/>
  <c r="AJ214" i="12"/>
  <c r="O214" i="12"/>
  <c r="P214" i="12" s="1"/>
  <c r="N214" i="12"/>
  <c r="AN213" i="12"/>
  <c r="AK213" i="12"/>
  <c r="AJ213" i="12"/>
  <c r="O213" i="12"/>
  <c r="P213" i="12" s="1"/>
  <c r="N213" i="12"/>
  <c r="AN212" i="12"/>
  <c r="AK212" i="12"/>
  <c r="AJ212" i="12"/>
  <c r="O212" i="12"/>
  <c r="P212" i="12" s="1"/>
  <c r="N212" i="12"/>
  <c r="AN211" i="12"/>
  <c r="AK211" i="12"/>
  <c r="AJ211" i="12"/>
  <c r="O211" i="12"/>
  <c r="P211" i="12" s="1"/>
  <c r="N211" i="12"/>
  <c r="AN210" i="12"/>
  <c r="AK210" i="12"/>
  <c r="AJ210" i="12"/>
  <c r="O210" i="12"/>
  <c r="P210" i="12" s="1"/>
  <c r="N210" i="12"/>
  <c r="AN209" i="12"/>
  <c r="AK209" i="12"/>
  <c r="AJ209" i="12"/>
  <c r="O209" i="12"/>
  <c r="P209" i="12" s="1"/>
  <c r="N209" i="12"/>
  <c r="AN208" i="12"/>
  <c r="AK208" i="12"/>
  <c r="AJ208" i="12"/>
  <c r="O208" i="12"/>
  <c r="P208" i="12" s="1"/>
  <c r="N208" i="12"/>
  <c r="AN207" i="12"/>
  <c r="AK207" i="12"/>
  <c r="AJ207" i="12"/>
  <c r="O207" i="12"/>
  <c r="P207" i="12" s="1"/>
  <c r="N207" i="12"/>
  <c r="AN206" i="12"/>
  <c r="AK206" i="12"/>
  <c r="AJ206" i="12"/>
  <c r="O206" i="12"/>
  <c r="P206" i="12" s="1"/>
  <c r="N206" i="12"/>
  <c r="AN205" i="12"/>
  <c r="AK205" i="12"/>
  <c r="AJ205" i="12"/>
  <c r="O205" i="12"/>
  <c r="P205" i="12" s="1"/>
  <c r="N205" i="12"/>
  <c r="AN204" i="12"/>
  <c r="AK204" i="12"/>
  <c r="AJ204" i="12"/>
  <c r="O204" i="12"/>
  <c r="P204" i="12" s="1"/>
  <c r="N204" i="12"/>
  <c r="AN203" i="12"/>
  <c r="AK203" i="12"/>
  <c r="AJ203" i="12"/>
  <c r="O203" i="12"/>
  <c r="P203" i="12" s="1"/>
  <c r="N203" i="12"/>
  <c r="AN202" i="12"/>
  <c r="AK202" i="12"/>
  <c r="AJ202" i="12"/>
  <c r="O202" i="12"/>
  <c r="P202" i="12" s="1"/>
  <c r="N202" i="12"/>
  <c r="AN201" i="12"/>
  <c r="AK201" i="12"/>
  <c r="AJ201" i="12"/>
  <c r="O201" i="12"/>
  <c r="P201" i="12" s="1"/>
  <c r="N201" i="12"/>
  <c r="AN200" i="12"/>
  <c r="AK200" i="12"/>
  <c r="AJ200" i="12"/>
  <c r="O200" i="12"/>
  <c r="P200" i="12" s="1"/>
  <c r="N200" i="12"/>
  <c r="AN199" i="12"/>
  <c r="AK199" i="12"/>
  <c r="AJ199" i="12"/>
  <c r="O199" i="12"/>
  <c r="P199" i="12" s="1"/>
  <c r="N199" i="12"/>
  <c r="AN198" i="12"/>
  <c r="AK198" i="12"/>
  <c r="AJ198" i="12"/>
  <c r="O198" i="12"/>
  <c r="P198" i="12" s="1"/>
  <c r="N198" i="12"/>
  <c r="AN197" i="12"/>
  <c r="AK197" i="12"/>
  <c r="AJ197" i="12"/>
  <c r="O197" i="12"/>
  <c r="P197" i="12" s="1"/>
  <c r="N197" i="12"/>
  <c r="AN196" i="12"/>
  <c r="AK196" i="12"/>
  <c r="AJ196" i="12"/>
  <c r="O196" i="12"/>
  <c r="P196" i="12" s="1"/>
  <c r="N196" i="12"/>
  <c r="AN195" i="12"/>
  <c r="AK195" i="12"/>
  <c r="AJ195" i="12"/>
  <c r="O195" i="12"/>
  <c r="P195" i="12" s="1"/>
  <c r="N195" i="12"/>
  <c r="AN194" i="12"/>
  <c r="AK194" i="12"/>
  <c r="AJ194" i="12"/>
  <c r="O194" i="12"/>
  <c r="P194" i="12" s="1"/>
  <c r="N194" i="12"/>
  <c r="AN193" i="12"/>
  <c r="AK193" i="12"/>
  <c r="AJ193" i="12"/>
  <c r="O193" i="12"/>
  <c r="P193" i="12" s="1"/>
  <c r="N193" i="12"/>
  <c r="AN192" i="12"/>
  <c r="AK192" i="12"/>
  <c r="AJ192" i="12"/>
  <c r="O192" i="12"/>
  <c r="P192" i="12" s="1"/>
  <c r="N192" i="12"/>
  <c r="AN191" i="12"/>
  <c r="AK191" i="12"/>
  <c r="AJ191" i="12"/>
  <c r="O191" i="12"/>
  <c r="P191" i="12" s="1"/>
  <c r="N191" i="12"/>
  <c r="AN190" i="12"/>
  <c r="AK190" i="12"/>
  <c r="AJ190" i="12"/>
  <c r="O190" i="12"/>
  <c r="P190" i="12" s="1"/>
  <c r="N190" i="12"/>
  <c r="AN189" i="12"/>
  <c r="AK189" i="12"/>
  <c r="AJ189" i="12"/>
  <c r="O189" i="12"/>
  <c r="P189" i="12" s="1"/>
  <c r="N189" i="12"/>
  <c r="AN188" i="12"/>
  <c r="AK188" i="12"/>
  <c r="AJ188" i="12"/>
  <c r="O188" i="12"/>
  <c r="P188" i="12" s="1"/>
  <c r="N188" i="12"/>
  <c r="AN187" i="12"/>
  <c r="AK187" i="12"/>
  <c r="AJ187" i="12"/>
  <c r="O187" i="12"/>
  <c r="P187" i="12" s="1"/>
  <c r="N187" i="12"/>
  <c r="AN186" i="12"/>
  <c r="AK186" i="12"/>
  <c r="AJ186" i="12"/>
  <c r="O186" i="12"/>
  <c r="P186" i="12" s="1"/>
  <c r="N186" i="12"/>
  <c r="AN185" i="12"/>
  <c r="AK185" i="12"/>
  <c r="AJ185" i="12"/>
  <c r="O185" i="12"/>
  <c r="P185" i="12" s="1"/>
  <c r="N185" i="12"/>
  <c r="AN184" i="12"/>
  <c r="AK184" i="12"/>
  <c r="AJ184" i="12"/>
  <c r="O184" i="12"/>
  <c r="P184" i="12" s="1"/>
  <c r="N184" i="12"/>
  <c r="AN183" i="12"/>
  <c r="AK183" i="12"/>
  <c r="AJ183" i="12"/>
  <c r="O183" i="12"/>
  <c r="P183" i="12" s="1"/>
  <c r="N183" i="12"/>
  <c r="AN182" i="12"/>
  <c r="AK182" i="12"/>
  <c r="AJ182" i="12"/>
  <c r="O182" i="12"/>
  <c r="P182" i="12" s="1"/>
  <c r="N182" i="12"/>
  <c r="AN181" i="12"/>
  <c r="AK181" i="12"/>
  <c r="AJ181" i="12"/>
  <c r="O181" i="12"/>
  <c r="P181" i="12" s="1"/>
  <c r="N181" i="12"/>
  <c r="AN180" i="12"/>
  <c r="AK180" i="12"/>
  <c r="AJ180" i="12"/>
  <c r="O180" i="12"/>
  <c r="P180" i="12" s="1"/>
  <c r="N180" i="12"/>
  <c r="AN179" i="12"/>
  <c r="AK179" i="12"/>
  <c r="AJ179" i="12"/>
  <c r="O179" i="12"/>
  <c r="P179" i="12" s="1"/>
  <c r="N179" i="12"/>
  <c r="AN178" i="12"/>
  <c r="AK178" i="12"/>
  <c r="AJ178" i="12"/>
  <c r="O178" i="12"/>
  <c r="P178" i="12" s="1"/>
  <c r="N178" i="12"/>
  <c r="AN177" i="12"/>
  <c r="AK177" i="12"/>
  <c r="AJ177" i="12"/>
  <c r="O177" i="12"/>
  <c r="P177" i="12" s="1"/>
  <c r="N177" i="12"/>
  <c r="AN176" i="12"/>
  <c r="AK176" i="12"/>
  <c r="AJ176" i="12"/>
  <c r="O176" i="12"/>
  <c r="P176" i="12" s="1"/>
  <c r="N176" i="12"/>
  <c r="AN175" i="12"/>
  <c r="AK175" i="12"/>
  <c r="AJ175" i="12"/>
  <c r="O175" i="12"/>
  <c r="P175" i="12" s="1"/>
  <c r="N175" i="12"/>
  <c r="AN174" i="12"/>
  <c r="AK174" i="12"/>
  <c r="AJ174" i="12"/>
  <c r="O174" i="12"/>
  <c r="P174" i="12" s="1"/>
  <c r="N174" i="12"/>
  <c r="AN173" i="12"/>
  <c r="AK173" i="12"/>
  <c r="AJ173" i="12"/>
  <c r="O173" i="12"/>
  <c r="P173" i="12" s="1"/>
  <c r="N173" i="12"/>
  <c r="AN172" i="12"/>
  <c r="AK172" i="12"/>
  <c r="AJ172" i="12"/>
  <c r="O172" i="12"/>
  <c r="P172" i="12" s="1"/>
  <c r="N172" i="12"/>
  <c r="AN171" i="12"/>
  <c r="AK171" i="12"/>
  <c r="AJ171" i="12"/>
  <c r="O171" i="12"/>
  <c r="P171" i="12" s="1"/>
  <c r="N171" i="12"/>
  <c r="AN170" i="12"/>
  <c r="AK170" i="12"/>
  <c r="AJ170" i="12"/>
  <c r="O170" i="12"/>
  <c r="P170" i="12" s="1"/>
  <c r="N170" i="12"/>
  <c r="AN169" i="12"/>
  <c r="AK169" i="12"/>
  <c r="AJ169" i="12"/>
  <c r="O169" i="12"/>
  <c r="P169" i="12" s="1"/>
  <c r="N169" i="12"/>
  <c r="AN168" i="12"/>
  <c r="AK168" i="12"/>
  <c r="AJ168" i="12"/>
  <c r="O168" i="12"/>
  <c r="P168" i="12" s="1"/>
  <c r="N168" i="12"/>
  <c r="AN167" i="12"/>
  <c r="AK167" i="12"/>
  <c r="AJ167" i="12"/>
  <c r="O167" i="12"/>
  <c r="P167" i="12" s="1"/>
  <c r="N167" i="12"/>
  <c r="AN166" i="12"/>
  <c r="AK166" i="12"/>
  <c r="AJ166" i="12"/>
  <c r="O166" i="12"/>
  <c r="P166" i="12" s="1"/>
  <c r="N166" i="12"/>
  <c r="AN165" i="12"/>
  <c r="AK165" i="12"/>
  <c r="AJ165" i="12"/>
  <c r="O165" i="12"/>
  <c r="P165" i="12" s="1"/>
  <c r="N165" i="12"/>
  <c r="AN164" i="12"/>
  <c r="AK164" i="12"/>
  <c r="AJ164" i="12"/>
  <c r="O164" i="12"/>
  <c r="P164" i="12" s="1"/>
  <c r="N164" i="12"/>
  <c r="AN163" i="12"/>
  <c r="AK163" i="12"/>
  <c r="AJ163" i="12"/>
  <c r="O163" i="12"/>
  <c r="P163" i="12" s="1"/>
  <c r="N163" i="12"/>
  <c r="AN162" i="12"/>
  <c r="AK162" i="12"/>
  <c r="AJ162" i="12"/>
  <c r="O162" i="12"/>
  <c r="P162" i="12" s="1"/>
  <c r="N162" i="12"/>
  <c r="AN161" i="12"/>
  <c r="AK161" i="12"/>
  <c r="AJ161" i="12"/>
  <c r="O161" i="12"/>
  <c r="P161" i="12" s="1"/>
  <c r="N161" i="12"/>
  <c r="AN160" i="12"/>
  <c r="AK160" i="12"/>
  <c r="AJ160" i="12"/>
  <c r="O160" i="12"/>
  <c r="P160" i="12" s="1"/>
  <c r="N160" i="12"/>
  <c r="AN159" i="12"/>
  <c r="AK159" i="12"/>
  <c r="AJ159" i="12"/>
  <c r="O159" i="12"/>
  <c r="P159" i="12" s="1"/>
  <c r="N159" i="12"/>
  <c r="AN158" i="12"/>
  <c r="AK158" i="12"/>
  <c r="AJ158" i="12"/>
  <c r="O158" i="12"/>
  <c r="P158" i="12" s="1"/>
  <c r="N158" i="12"/>
  <c r="AN157" i="12"/>
  <c r="AK157" i="12"/>
  <c r="AJ157" i="12"/>
  <c r="O157" i="12"/>
  <c r="P157" i="12" s="1"/>
  <c r="N157" i="12"/>
  <c r="AN156" i="12"/>
  <c r="AK156" i="12"/>
  <c r="AJ156" i="12"/>
  <c r="O156" i="12"/>
  <c r="P156" i="12" s="1"/>
  <c r="N156" i="12"/>
  <c r="AN155" i="12"/>
  <c r="AK155" i="12"/>
  <c r="AJ155" i="12"/>
  <c r="O155" i="12"/>
  <c r="P155" i="12" s="1"/>
  <c r="N155" i="12"/>
  <c r="AN154" i="12"/>
  <c r="AK154" i="12"/>
  <c r="AJ154" i="12"/>
  <c r="O154" i="12"/>
  <c r="P154" i="12" s="1"/>
  <c r="N154" i="12"/>
  <c r="AN153" i="12"/>
  <c r="AK153" i="12"/>
  <c r="AJ153" i="12"/>
  <c r="O153" i="12"/>
  <c r="P153" i="12" s="1"/>
  <c r="N153" i="12"/>
  <c r="AN152" i="12"/>
  <c r="AK152" i="12"/>
  <c r="AJ152" i="12"/>
  <c r="O152" i="12"/>
  <c r="P152" i="12" s="1"/>
  <c r="N152" i="12"/>
  <c r="AN151" i="12"/>
  <c r="AK151" i="12"/>
  <c r="AJ151" i="12"/>
  <c r="O151" i="12"/>
  <c r="P151" i="12" s="1"/>
  <c r="N151" i="12"/>
  <c r="AN150" i="12"/>
  <c r="AK150" i="12"/>
  <c r="AJ150" i="12"/>
  <c r="O150" i="12"/>
  <c r="P150" i="12" s="1"/>
  <c r="N150" i="12"/>
  <c r="AN149" i="12"/>
  <c r="AK149" i="12"/>
  <c r="AJ149" i="12"/>
  <c r="O149" i="12"/>
  <c r="P149" i="12" s="1"/>
  <c r="N149" i="12"/>
  <c r="B149" i="12"/>
  <c r="B161" i="12" s="1"/>
  <c r="B173" i="12" s="1"/>
  <c r="B185" i="12" s="1"/>
  <c r="B197" i="12" s="1"/>
  <c r="B209" i="12" s="1"/>
  <c r="B221" i="12" s="1"/>
  <c r="B233" i="12" s="1"/>
  <c r="B245" i="12" s="1"/>
  <c r="AN148" i="12"/>
  <c r="AK148" i="12"/>
  <c r="AJ148" i="12"/>
  <c r="O148" i="12"/>
  <c r="P148" i="12" s="1"/>
  <c r="N148" i="12"/>
  <c r="B148" i="12"/>
  <c r="B160" i="12" s="1"/>
  <c r="B172" i="12" s="1"/>
  <c r="B184" i="12" s="1"/>
  <c r="B196" i="12" s="1"/>
  <c r="B208" i="12" s="1"/>
  <c r="B220" i="12" s="1"/>
  <c r="B232" i="12" s="1"/>
  <c r="B244" i="12" s="1"/>
  <c r="AN147" i="12"/>
  <c r="AK147" i="12"/>
  <c r="AJ147" i="12"/>
  <c r="O147" i="12"/>
  <c r="P147" i="12" s="1"/>
  <c r="N147" i="12"/>
  <c r="B147" i="12"/>
  <c r="B159" i="12" s="1"/>
  <c r="B171" i="12" s="1"/>
  <c r="B183" i="12" s="1"/>
  <c r="B195" i="12" s="1"/>
  <c r="B207" i="12" s="1"/>
  <c r="B219" i="12" s="1"/>
  <c r="B231" i="12" s="1"/>
  <c r="B243" i="12" s="1"/>
  <c r="AN146" i="12"/>
  <c r="AK146" i="12"/>
  <c r="AJ146" i="12"/>
  <c r="O146" i="12"/>
  <c r="P146" i="12" s="1"/>
  <c r="N146" i="12"/>
  <c r="B146" i="12"/>
  <c r="B158" i="12" s="1"/>
  <c r="B170" i="12" s="1"/>
  <c r="B182" i="12" s="1"/>
  <c r="B194" i="12" s="1"/>
  <c r="B206" i="12" s="1"/>
  <c r="B218" i="12" s="1"/>
  <c r="B230" i="12" s="1"/>
  <c r="B242" i="12" s="1"/>
  <c r="AN145" i="12"/>
  <c r="AK145" i="12"/>
  <c r="AJ145" i="12"/>
  <c r="O145" i="12"/>
  <c r="P145" i="12" s="1"/>
  <c r="N145" i="12"/>
  <c r="B145" i="12"/>
  <c r="B157" i="12" s="1"/>
  <c r="B169" i="12" s="1"/>
  <c r="B181" i="12" s="1"/>
  <c r="B193" i="12" s="1"/>
  <c r="B205" i="12" s="1"/>
  <c r="B217" i="12" s="1"/>
  <c r="B229" i="12" s="1"/>
  <c r="B241" i="12" s="1"/>
  <c r="AN144" i="12"/>
  <c r="AK144" i="12"/>
  <c r="AJ144" i="12"/>
  <c r="O144" i="12"/>
  <c r="P144" i="12" s="1"/>
  <c r="N144" i="12"/>
  <c r="B144" i="12"/>
  <c r="B156" i="12" s="1"/>
  <c r="B168" i="12" s="1"/>
  <c r="B180" i="12" s="1"/>
  <c r="B192" i="12" s="1"/>
  <c r="B204" i="12" s="1"/>
  <c r="B216" i="12" s="1"/>
  <c r="B228" i="12" s="1"/>
  <c r="B240" i="12" s="1"/>
  <c r="AN143" i="12"/>
  <c r="AK143" i="12"/>
  <c r="AJ143" i="12"/>
  <c r="O143" i="12"/>
  <c r="P143" i="12" s="1"/>
  <c r="N143" i="12"/>
  <c r="B143" i="12"/>
  <c r="B155" i="12" s="1"/>
  <c r="B167" i="12" s="1"/>
  <c r="B179" i="12" s="1"/>
  <c r="B191" i="12" s="1"/>
  <c r="B203" i="12" s="1"/>
  <c r="B215" i="12" s="1"/>
  <c r="B227" i="12" s="1"/>
  <c r="B239" i="12" s="1"/>
  <c r="AN142" i="12"/>
  <c r="AK142" i="12"/>
  <c r="AJ142" i="12"/>
  <c r="O142" i="12"/>
  <c r="P142" i="12" s="1"/>
  <c r="N142" i="12"/>
  <c r="B142" i="12"/>
  <c r="B154" i="12" s="1"/>
  <c r="B166" i="12" s="1"/>
  <c r="B178" i="12" s="1"/>
  <c r="B190" i="12" s="1"/>
  <c r="B202" i="12" s="1"/>
  <c r="B214" i="12" s="1"/>
  <c r="B226" i="12" s="1"/>
  <c r="B238" i="12" s="1"/>
  <c r="AN141" i="12"/>
  <c r="AK141" i="12"/>
  <c r="AJ141" i="12"/>
  <c r="O141" i="12"/>
  <c r="P141" i="12" s="1"/>
  <c r="N141" i="12"/>
  <c r="B141" i="12"/>
  <c r="B153" i="12" s="1"/>
  <c r="B165" i="12" s="1"/>
  <c r="B177" i="12" s="1"/>
  <c r="B189" i="12" s="1"/>
  <c r="B201" i="12" s="1"/>
  <c r="B213" i="12" s="1"/>
  <c r="B225" i="12" s="1"/>
  <c r="B237" i="12" s="1"/>
  <c r="AN140" i="12"/>
  <c r="AK140" i="12"/>
  <c r="AJ140" i="12"/>
  <c r="O140" i="12"/>
  <c r="P140" i="12" s="1"/>
  <c r="N140" i="12"/>
  <c r="B140" i="12"/>
  <c r="B152" i="12" s="1"/>
  <c r="B164" i="12" s="1"/>
  <c r="B176" i="12" s="1"/>
  <c r="B188" i="12" s="1"/>
  <c r="B200" i="12" s="1"/>
  <c r="B212" i="12" s="1"/>
  <c r="B224" i="12" s="1"/>
  <c r="B236" i="12" s="1"/>
  <c r="AN139" i="12"/>
  <c r="AK139" i="12"/>
  <c r="AJ139" i="12"/>
  <c r="O139" i="12"/>
  <c r="P139" i="12" s="1"/>
  <c r="N139" i="12"/>
  <c r="B139" i="12"/>
  <c r="B151" i="12" s="1"/>
  <c r="B163" i="12" s="1"/>
  <c r="B175" i="12" s="1"/>
  <c r="B187" i="12" s="1"/>
  <c r="B199" i="12" s="1"/>
  <c r="B211" i="12" s="1"/>
  <c r="B223" i="12" s="1"/>
  <c r="B235" i="12" s="1"/>
  <c r="AN138" i="12"/>
  <c r="AK138" i="12"/>
  <c r="AJ138" i="12"/>
  <c r="O138" i="12"/>
  <c r="P138" i="12" s="1"/>
  <c r="N138" i="12"/>
  <c r="B138" i="12"/>
  <c r="B150" i="12" s="1"/>
  <c r="B162" i="12" s="1"/>
  <c r="B174" i="12" s="1"/>
  <c r="B186" i="12" s="1"/>
  <c r="B198" i="12" s="1"/>
  <c r="B210" i="12" s="1"/>
  <c r="B222" i="12" s="1"/>
  <c r="B234" i="12" s="1"/>
  <c r="AN137" i="12"/>
  <c r="AK137" i="12"/>
  <c r="AJ137" i="12"/>
  <c r="O137" i="12"/>
  <c r="P137" i="12" s="1"/>
  <c r="N137" i="12"/>
  <c r="AN136" i="12"/>
  <c r="AK136" i="12"/>
  <c r="AJ136" i="12"/>
  <c r="O136" i="12"/>
  <c r="P136" i="12" s="1"/>
  <c r="N136" i="12"/>
  <c r="AN135" i="12"/>
  <c r="AK135" i="12"/>
  <c r="AJ135" i="12"/>
  <c r="O135" i="12"/>
  <c r="P135" i="12" s="1"/>
  <c r="N135" i="12"/>
  <c r="AN134" i="12"/>
  <c r="AK134" i="12"/>
  <c r="AJ134" i="12"/>
  <c r="O134" i="12"/>
  <c r="P134" i="12" s="1"/>
  <c r="N134" i="12"/>
  <c r="AN133" i="12"/>
  <c r="AK133" i="12"/>
  <c r="AJ133" i="12"/>
  <c r="O133" i="12"/>
  <c r="P133" i="12" s="1"/>
  <c r="N133" i="12"/>
  <c r="AN132" i="12"/>
  <c r="AK132" i="12"/>
  <c r="AJ132" i="12"/>
  <c r="O132" i="12"/>
  <c r="P132" i="12" s="1"/>
  <c r="N132" i="12"/>
  <c r="AN131" i="12"/>
  <c r="AK131" i="12"/>
  <c r="AJ131" i="12"/>
  <c r="O131" i="12"/>
  <c r="P131" i="12" s="1"/>
  <c r="N131" i="12"/>
  <c r="AN130" i="12"/>
  <c r="AK130" i="12"/>
  <c r="AJ130" i="12"/>
  <c r="O130" i="12"/>
  <c r="P130" i="12" s="1"/>
  <c r="N130" i="12"/>
  <c r="AN129" i="12"/>
  <c r="AK129" i="12"/>
  <c r="AJ129" i="12"/>
  <c r="O129" i="12"/>
  <c r="P129" i="12" s="1"/>
  <c r="N129" i="12"/>
  <c r="AN128" i="12"/>
  <c r="AK128" i="12"/>
  <c r="AJ128" i="12"/>
  <c r="O128" i="12"/>
  <c r="P128" i="12" s="1"/>
  <c r="N128" i="12"/>
  <c r="AN127" i="12"/>
  <c r="AK127" i="12"/>
  <c r="AJ127" i="12"/>
  <c r="O127" i="12"/>
  <c r="P127" i="12" s="1"/>
  <c r="N127" i="12"/>
  <c r="BI126" i="12"/>
  <c r="AN126" i="12"/>
  <c r="AK126" i="12"/>
  <c r="AJ126" i="12"/>
  <c r="O126" i="12"/>
  <c r="N126" i="12"/>
  <c r="L126" i="12"/>
  <c r="K126" i="12"/>
  <c r="W125" i="12"/>
  <c r="D126" i="12"/>
  <c r="E84" i="12"/>
  <c r="E83" i="12"/>
  <c r="E82" i="12"/>
  <c r="E81" i="12"/>
  <c r="E80" i="12"/>
  <c r="E78" i="12"/>
  <c r="E77" i="12"/>
  <c r="E38" i="12"/>
  <c r="V4" i="12"/>
  <c r="X4" i="12" s="1"/>
  <c r="Y4" i="12" s="1"/>
  <c r="J25" i="15" l="1"/>
  <c r="F126" i="12"/>
  <c r="H25" i="15"/>
  <c r="E126" i="12"/>
  <c r="G126" i="12" s="1"/>
  <c r="D28" i="15"/>
  <c r="C29" i="15"/>
  <c r="E29" i="15" s="1"/>
  <c r="K25" i="15"/>
  <c r="AK123" i="12"/>
  <c r="E112" i="12" s="1"/>
  <c r="N123" i="12"/>
  <c r="E102" i="12" s="1"/>
  <c r="AN123" i="12"/>
  <c r="E114" i="12" s="1"/>
  <c r="E85" i="12"/>
  <c r="AJ123" i="12"/>
  <c r="E111" i="12" s="1"/>
  <c r="O123" i="12"/>
  <c r="E103" i="12" s="1"/>
  <c r="P126" i="12"/>
  <c r="P123" i="12" s="1"/>
  <c r="E104" i="12" s="1"/>
  <c r="I26" i="15" l="1"/>
  <c r="F26" i="15"/>
  <c r="D29" i="15"/>
  <c r="C30" i="15"/>
  <c r="E30" i="15" s="1"/>
  <c r="G26" i="15"/>
  <c r="D127" i="12"/>
  <c r="E86" i="12"/>
  <c r="E87" i="12" s="1"/>
  <c r="F104" i="12"/>
  <c r="J26" i="15" l="1"/>
  <c r="F127" i="12"/>
  <c r="H26" i="15"/>
  <c r="E127" i="12"/>
  <c r="G127" i="12" s="1"/>
  <c r="K26" i="15"/>
  <c r="C31" i="15"/>
  <c r="E31" i="15" s="1"/>
  <c r="D30" i="15"/>
  <c r="D128" i="12"/>
  <c r="D129" i="12" s="1"/>
  <c r="BD125" i="12"/>
  <c r="BA126" i="12" s="1"/>
  <c r="AZ125" i="12"/>
  <c r="BH125" i="12"/>
  <c r="BE126" i="12" s="1"/>
  <c r="R125" i="12"/>
  <c r="Y125" i="12"/>
  <c r="F27" i="15" l="1"/>
  <c r="G27" i="15" s="1"/>
  <c r="I27" i="15"/>
  <c r="D31" i="15"/>
  <c r="C32" i="15"/>
  <c r="E32" i="15" s="1"/>
  <c r="G28" i="15"/>
  <c r="S125" i="12"/>
  <c r="AE125" i="12"/>
  <c r="AM126" i="12"/>
  <c r="U126" i="12"/>
  <c r="D130" i="12"/>
  <c r="H27" i="15" l="1"/>
  <c r="K27" i="15"/>
  <c r="E128" i="12"/>
  <c r="G128" i="12" s="1"/>
  <c r="F128" i="12"/>
  <c r="J27" i="15"/>
  <c r="E129" i="12"/>
  <c r="G129" i="12" s="1"/>
  <c r="D32" i="15"/>
  <c r="C33" i="15"/>
  <c r="E33" i="15" s="1"/>
  <c r="D131" i="12"/>
  <c r="AG125" i="12"/>
  <c r="I28" i="15" l="1"/>
  <c r="J28" i="15" s="1"/>
  <c r="F28" i="15"/>
  <c r="H28" i="15" s="1"/>
  <c r="G29" i="15"/>
  <c r="D33" i="15"/>
  <c r="C34" i="15"/>
  <c r="E34" i="15" s="1"/>
  <c r="D132" i="12"/>
  <c r="AL125" i="12"/>
  <c r="K28" i="15" l="1"/>
  <c r="F129" i="12"/>
  <c r="I29" i="15"/>
  <c r="K29" i="15" s="1"/>
  <c r="F29" i="15"/>
  <c r="H29" i="15" s="1"/>
  <c r="E130" i="12"/>
  <c r="G130" i="12" s="1"/>
  <c r="D34" i="15"/>
  <c r="C35" i="15"/>
  <c r="E35" i="15" s="1"/>
  <c r="D133" i="12"/>
  <c r="AO125" i="12"/>
  <c r="J29" i="15" l="1"/>
  <c r="F130" i="12"/>
  <c r="C36" i="15"/>
  <c r="E36" i="15" s="1"/>
  <c r="D35" i="15"/>
  <c r="AQ125" i="12"/>
  <c r="AS125" i="12"/>
  <c r="D134" i="12"/>
  <c r="F30" i="15" l="1"/>
  <c r="I30" i="15"/>
  <c r="C37" i="15"/>
  <c r="E37" i="15" s="1"/>
  <c r="D36" i="15"/>
  <c r="D135" i="12"/>
  <c r="AV125" i="12"/>
  <c r="F131" i="12" l="1"/>
  <c r="J30" i="15"/>
  <c r="G30" i="15"/>
  <c r="H30" i="15" s="1"/>
  <c r="C38" i="15"/>
  <c r="E38" i="15" s="1"/>
  <c r="D37" i="15"/>
  <c r="G31" i="15"/>
  <c r="D136" i="12"/>
  <c r="F31" i="15" l="1"/>
  <c r="H31" i="15" s="1"/>
  <c r="I31" i="15"/>
  <c r="K31" i="15" s="1"/>
  <c r="E131" i="12"/>
  <c r="G131" i="12" s="1"/>
  <c r="K30" i="15"/>
  <c r="E132" i="12"/>
  <c r="G132" i="12" s="1"/>
  <c r="C39" i="15"/>
  <c r="E39" i="15" s="1"/>
  <c r="I39" i="15" s="1"/>
  <c r="D38" i="15"/>
  <c r="D137" i="12"/>
  <c r="J31" i="15" l="1"/>
  <c r="F132" i="12"/>
  <c r="D39" i="15"/>
  <c r="C40" i="15"/>
  <c r="E40" i="15" s="1"/>
  <c r="I40" i="15" s="1"/>
  <c r="D138" i="12"/>
  <c r="I32" i="15" l="1"/>
  <c r="F32" i="15"/>
  <c r="G32" i="15" s="1"/>
  <c r="D40" i="15"/>
  <c r="C41" i="15"/>
  <c r="E41" i="15" s="1"/>
  <c r="I41" i="15" s="1"/>
  <c r="D139" i="12"/>
  <c r="K32" i="15" l="1"/>
  <c r="E133" i="12"/>
  <c r="G133" i="12" s="1"/>
  <c r="H32" i="15"/>
  <c r="J32" i="15"/>
  <c r="F133" i="12"/>
  <c r="G34" i="15"/>
  <c r="E135" i="12" s="1"/>
  <c r="G135" i="12" s="1"/>
  <c r="D41" i="15"/>
  <c r="C42" i="15"/>
  <c r="E42" i="15" s="1"/>
  <c r="I42" i="15" s="1"/>
  <c r="D140" i="12"/>
  <c r="F140" i="12" s="1"/>
  <c r="F33" i="15" l="1"/>
  <c r="I33" i="15"/>
  <c r="D42" i="15"/>
  <c r="C43" i="15"/>
  <c r="E43" i="15" s="1"/>
  <c r="I43" i="15" s="1"/>
  <c r="D141" i="12"/>
  <c r="F141" i="12" s="1"/>
  <c r="G33" i="15" l="1"/>
  <c r="H33" i="15" s="1"/>
  <c r="J33" i="15"/>
  <c r="F134" i="12"/>
  <c r="D43" i="15"/>
  <c r="C44" i="15"/>
  <c r="E44" i="15" s="1"/>
  <c r="I44" i="15" s="1"/>
  <c r="D142" i="12"/>
  <c r="F142" i="12" s="1"/>
  <c r="K33" i="15" l="1"/>
  <c r="E134" i="12"/>
  <c r="G134" i="12" s="1"/>
  <c r="F34" i="15"/>
  <c r="H34" i="15" s="1"/>
  <c r="G35" i="15" s="1"/>
  <c r="E136" i="12" s="1"/>
  <c r="G136" i="12" s="1"/>
  <c r="I34" i="15"/>
  <c r="J34" i="15" s="1"/>
  <c r="D44" i="15"/>
  <c r="C45" i="15"/>
  <c r="E45" i="15" s="1"/>
  <c r="I45" i="15" s="1"/>
  <c r="D143" i="12"/>
  <c r="F143" i="12" s="1"/>
  <c r="I35" i="15" l="1"/>
  <c r="F35" i="15"/>
  <c r="H35" i="15" s="1"/>
  <c r="K34" i="15"/>
  <c r="F135" i="12"/>
  <c r="D45" i="15"/>
  <c r="C46" i="15"/>
  <c r="E46" i="15" s="1"/>
  <c r="I46" i="15" s="1"/>
  <c r="D144" i="12"/>
  <c r="F144" i="12" s="1"/>
  <c r="J35" i="15" l="1"/>
  <c r="F136" i="12"/>
  <c r="K35" i="15"/>
  <c r="D46" i="15"/>
  <c r="C47" i="15"/>
  <c r="E47" i="15" s="1"/>
  <c r="I47" i="15" s="1"/>
  <c r="D145" i="12"/>
  <c r="F145" i="12" s="1"/>
  <c r="I36" i="15" l="1"/>
  <c r="F36" i="15"/>
  <c r="G36" i="15" s="1"/>
  <c r="E137" i="12" s="1"/>
  <c r="G137" i="12" s="1"/>
  <c r="G38" i="15"/>
  <c r="D47" i="15"/>
  <c r="C48" i="15"/>
  <c r="E48" i="15" s="1"/>
  <c r="D146" i="12"/>
  <c r="F146" i="12" s="1"/>
  <c r="H36" i="15" l="1"/>
  <c r="K36" i="15"/>
  <c r="J36" i="15"/>
  <c r="F137" i="12"/>
  <c r="E139" i="12"/>
  <c r="G139" i="12" s="1"/>
  <c r="D48" i="15"/>
  <c r="C49" i="15"/>
  <c r="E49" i="15" s="1"/>
  <c r="I49" i="15" s="1"/>
  <c r="D147" i="12"/>
  <c r="F147" i="12" s="1"/>
  <c r="I37" i="15" l="1"/>
  <c r="F37" i="15"/>
  <c r="G37" i="15" s="1"/>
  <c r="I38" i="15"/>
  <c r="D49" i="15"/>
  <c r="C50" i="15"/>
  <c r="E50" i="15" s="1"/>
  <c r="I50" i="15" s="1"/>
  <c r="D148" i="12"/>
  <c r="F148" i="12" s="1"/>
  <c r="J37" i="15" l="1"/>
  <c r="F138" i="12"/>
  <c r="H37" i="15"/>
  <c r="K37" i="15"/>
  <c r="E138" i="12"/>
  <c r="G138" i="12" s="1"/>
  <c r="K38" i="15"/>
  <c r="F139" i="12"/>
  <c r="G40" i="15"/>
  <c r="D50" i="15"/>
  <c r="C51" i="15"/>
  <c r="E51" i="15" s="1"/>
  <c r="I51" i="15" s="1"/>
  <c r="D149" i="12"/>
  <c r="F38" i="15" l="1"/>
  <c r="H38" i="15" s="1"/>
  <c r="J38" i="15"/>
  <c r="E141" i="12"/>
  <c r="G141" i="12" s="1"/>
  <c r="G41" i="15"/>
  <c r="K40" i="15"/>
  <c r="D51" i="15"/>
  <c r="C52" i="15"/>
  <c r="E52" i="15" s="1"/>
  <c r="I52" i="15" s="1"/>
  <c r="D150" i="12"/>
  <c r="F150" i="12" s="1"/>
  <c r="F39" i="15" l="1"/>
  <c r="J39" i="15"/>
  <c r="E142" i="12"/>
  <c r="G142" i="12" s="1"/>
  <c r="K41" i="15"/>
  <c r="D52" i="15"/>
  <c r="C53" i="15"/>
  <c r="E53" i="15" s="1"/>
  <c r="I53" i="15" s="1"/>
  <c r="D151" i="12"/>
  <c r="F151" i="12" s="1"/>
  <c r="G39" i="15" l="1"/>
  <c r="H39" i="15" s="1"/>
  <c r="J40" i="15"/>
  <c r="F40" i="15"/>
  <c r="D53" i="15"/>
  <c r="C54" i="15"/>
  <c r="E54" i="15" s="1"/>
  <c r="I54" i="15" s="1"/>
  <c r="G43" i="15"/>
  <c r="D152" i="12"/>
  <c r="F152" i="12" s="1"/>
  <c r="H40" i="15" l="1"/>
  <c r="K39" i="15"/>
  <c r="E140" i="12"/>
  <c r="G140" i="12" s="1"/>
  <c r="J41" i="15"/>
  <c r="F41" i="15"/>
  <c r="E144" i="12"/>
  <c r="G144" i="12" s="1"/>
  <c r="K43" i="15"/>
  <c r="D54" i="15"/>
  <c r="C55" i="15"/>
  <c r="E55" i="15" s="1"/>
  <c r="I55" i="15" s="1"/>
  <c r="D153" i="12"/>
  <c r="F153" i="12" s="1"/>
  <c r="H41" i="15" l="1"/>
  <c r="J42" i="15"/>
  <c r="F42" i="15"/>
  <c r="G44" i="15"/>
  <c r="D55" i="15"/>
  <c r="C56" i="15"/>
  <c r="E56" i="15" s="1"/>
  <c r="I56" i="15" s="1"/>
  <c r="D154" i="12"/>
  <c r="F154" i="12" s="1"/>
  <c r="J43" i="15" l="1"/>
  <c r="F43" i="15"/>
  <c r="G42" i="15"/>
  <c r="H42" i="15" s="1"/>
  <c r="E145" i="12"/>
  <c r="G145" i="12" s="1"/>
  <c r="K44" i="15"/>
  <c r="D56" i="15"/>
  <c r="C57" i="15"/>
  <c r="E57" i="15" s="1"/>
  <c r="I57" i="15" s="1"/>
  <c r="D155" i="12"/>
  <c r="F155" i="12" s="1"/>
  <c r="J44" i="15" l="1"/>
  <c r="F44" i="15"/>
  <c r="K42" i="15"/>
  <c r="E143" i="12"/>
  <c r="G143" i="12" s="1"/>
  <c r="H43" i="15"/>
  <c r="D57" i="15"/>
  <c r="C58" i="15"/>
  <c r="E58" i="15" s="1"/>
  <c r="I58" i="15" s="1"/>
  <c r="D156" i="12"/>
  <c r="F156" i="12" s="1"/>
  <c r="H44" i="15" l="1"/>
  <c r="J45" i="15"/>
  <c r="F45" i="15"/>
  <c r="I48" i="15"/>
  <c r="G46" i="15"/>
  <c r="D58" i="15"/>
  <c r="C59" i="15"/>
  <c r="E59" i="15" s="1"/>
  <c r="I59" i="15" s="1"/>
  <c r="D157" i="12"/>
  <c r="F157" i="12" s="1"/>
  <c r="J46" i="15" l="1"/>
  <c r="F46" i="15"/>
  <c r="G45" i="15"/>
  <c r="H45" i="15" s="1"/>
  <c r="F149" i="12"/>
  <c r="E147" i="12"/>
  <c r="G147" i="12" s="1"/>
  <c r="K46" i="15"/>
  <c r="D59" i="15"/>
  <c r="C60" i="15"/>
  <c r="E60" i="15" s="1"/>
  <c r="D158" i="12"/>
  <c r="F158" i="12" s="1"/>
  <c r="H46" i="15" l="1"/>
  <c r="J47" i="15"/>
  <c r="F47" i="15"/>
  <c r="K45" i="15"/>
  <c r="E146" i="12"/>
  <c r="G146" i="12" s="1"/>
  <c r="G47" i="15"/>
  <c r="D60" i="15"/>
  <c r="C61" i="15"/>
  <c r="E61" i="15" s="1"/>
  <c r="I61" i="15" s="1"/>
  <c r="D159" i="12"/>
  <c r="F159" i="12" s="1"/>
  <c r="J48" i="15" l="1"/>
  <c r="F48" i="15"/>
  <c r="H47" i="15"/>
  <c r="E148" i="12"/>
  <c r="G148" i="12" s="1"/>
  <c r="K47" i="15"/>
  <c r="D61" i="15"/>
  <c r="C62" i="15"/>
  <c r="E62" i="15" s="1"/>
  <c r="I62" i="15" s="1"/>
  <c r="D160" i="12"/>
  <c r="F160" i="12" s="1"/>
  <c r="G48" i="15" l="1"/>
  <c r="E149" i="12" s="1"/>
  <c r="G149" i="12" s="1"/>
  <c r="J49" i="15"/>
  <c r="F49" i="15"/>
  <c r="D62" i="15"/>
  <c r="C63" i="15"/>
  <c r="E63" i="15" s="1"/>
  <c r="I63" i="15" s="1"/>
  <c r="D161" i="12"/>
  <c r="H48" i="15" l="1"/>
  <c r="K48" i="15"/>
  <c r="F50" i="15"/>
  <c r="J50" i="15"/>
  <c r="G49" i="15"/>
  <c r="G50" i="15"/>
  <c r="D63" i="15"/>
  <c r="C64" i="15"/>
  <c r="E64" i="15" s="1"/>
  <c r="I64" i="15" s="1"/>
  <c r="D162" i="12"/>
  <c r="F162" i="12" s="1"/>
  <c r="H49" i="15" l="1"/>
  <c r="H50" i="15" s="1"/>
  <c r="F51" i="15"/>
  <c r="J51" i="15"/>
  <c r="K49" i="15"/>
  <c r="E150" i="12"/>
  <c r="G150" i="12" s="1"/>
  <c r="E151" i="12"/>
  <c r="G151" i="12" s="1"/>
  <c r="K50" i="15"/>
  <c r="C65" i="15"/>
  <c r="E65" i="15" s="1"/>
  <c r="I65" i="15" s="1"/>
  <c r="D64" i="15"/>
  <c r="D163" i="12"/>
  <c r="F163" i="12" s="1"/>
  <c r="F52" i="15" l="1"/>
  <c r="J52" i="15"/>
  <c r="G51" i="15"/>
  <c r="C66" i="15"/>
  <c r="E66" i="15" s="1"/>
  <c r="I66" i="15" s="1"/>
  <c r="D65" i="15"/>
  <c r="D164" i="12"/>
  <c r="F164" i="12" s="1"/>
  <c r="F53" i="15" l="1"/>
  <c r="J53" i="15"/>
  <c r="H51" i="15"/>
  <c r="E152" i="12"/>
  <c r="G152" i="12" s="1"/>
  <c r="K51" i="15"/>
  <c r="G52" i="15"/>
  <c r="D66" i="15"/>
  <c r="C67" i="15"/>
  <c r="E67" i="15" s="1"/>
  <c r="I67" i="15" s="1"/>
  <c r="D165" i="12"/>
  <c r="F165" i="12" s="1"/>
  <c r="F54" i="15" l="1"/>
  <c r="J54" i="15"/>
  <c r="H52" i="15"/>
  <c r="E153" i="12"/>
  <c r="G153" i="12" s="1"/>
  <c r="K52" i="15"/>
  <c r="D67" i="15"/>
  <c r="C68" i="15"/>
  <c r="E68" i="15" s="1"/>
  <c r="I68" i="15" s="1"/>
  <c r="D166" i="12"/>
  <c r="F166" i="12" s="1"/>
  <c r="F55" i="15" l="1"/>
  <c r="J55" i="15"/>
  <c r="J56" i="15" s="1"/>
  <c r="J57" i="15" s="1"/>
  <c r="J58" i="15" s="1"/>
  <c r="J59" i="15" s="1"/>
  <c r="G53" i="15"/>
  <c r="D68" i="15"/>
  <c r="C69" i="15"/>
  <c r="E69" i="15" s="1"/>
  <c r="I69" i="15" s="1"/>
  <c r="D167" i="12"/>
  <c r="F167" i="12" s="1"/>
  <c r="H53" i="15" l="1"/>
  <c r="G54" i="15" s="1"/>
  <c r="E154" i="12"/>
  <c r="G154" i="12" s="1"/>
  <c r="K53" i="15"/>
  <c r="D69" i="15"/>
  <c r="C70" i="15"/>
  <c r="E70" i="15" s="1"/>
  <c r="I70" i="15" s="1"/>
  <c r="F56" i="15"/>
  <c r="D168" i="12"/>
  <c r="F168" i="12" s="1"/>
  <c r="H54" i="15" l="1"/>
  <c r="E155" i="12"/>
  <c r="G155" i="12" s="1"/>
  <c r="F57" i="15"/>
  <c r="K54" i="15"/>
  <c r="G55" i="15"/>
  <c r="D70" i="15"/>
  <c r="C71" i="15"/>
  <c r="E71" i="15" s="1"/>
  <c r="I71" i="15" s="1"/>
  <c r="D169" i="12"/>
  <c r="F169" i="12" s="1"/>
  <c r="H55" i="15" l="1"/>
  <c r="E156" i="12"/>
  <c r="G156" i="12" s="1"/>
  <c r="F58" i="15"/>
  <c r="K55" i="15"/>
  <c r="G56" i="15"/>
  <c r="D71" i="15"/>
  <c r="C72" i="15"/>
  <c r="E72" i="15" s="1"/>
  <c r="I72" i="15" s="1"/>
  <c r="D170" i="12"/>
  <c r="F170" i="12" s="1"/>
  <c r="H56" i="15" l="1"/>
  <c r="G57" i="15" s="1"/>
  <c r="E157" i="12"/>
  <c r="G157" i="12" s="1"/>
  <c r="F59" i="15"/>
  <c r="K56" i="15"/>
  <c r="D72" i="15"/>
  <c r="C73" i="15"/>
  <c r="E73" i="15" s="1"/>
  <c r="I73" i="15" s="1"/>
  <c r="D171" i="12"/>
  <c r="F171" i="12" s="1"/>
  <c r="H57" i="15" l="1"/>
  <c r="E158" i="12"/>
  <c r="G158" i="12" s="1"/>
  <c r="K57" i="15"/>
  <c r="G58" i="15"/>
  <c r="C74" i="15"/>
  <c r="E74" i="15" s="1"/>
  <c r="I74" i="15" s="1"/>
  <c r="D73" i="15"/>
  <c r="D172" i="12"/>
  <c r="F172" i="12" s="1"/>
  <c r="H58" i="15" l="1"/>
  <c r="E159" i="12"/>
  <c r="G159" i="12" s="1"/>
  <c r="F60" i="15"/>
  <c r="I60" i="15"/>
  <c r="K58" i="15"/>
  <c r="G59" i="15"/>
  <c r="D74" i="15"/>
  <c r="C75" i="15"/>
  <c r="E75" i="15" s="1"/>
  <c r="I75" i="15" s="1"/>
  <c r="D173" i="12"/>
  <c r="F173" i="12" s="1"/>
  <c r="J60" i="15" l="1"/>
  <c r="F161" i="12"/>
  <c r="H59" i="15"/>
  <c r="G60" i="15" s="1"/>
  <c r="E160" i="12"/>
  <c r="G160" i="12" s="1"/>
  <c r="K59" i="15"/>
  <c r="D75" i="15"/>
  <c r="C76" i="15"/>
  <c r="E76" i="15" s="1"/>
  <c r="I76" i="15" s="1"/>
  <c r="D174" i="12"/>
  <c r="F174" i="12" s="1"/>
  <c r="J61" i="15" l="1"/>
  <c r="F61" i="15"/>
  <c r="H60" i="15"/>
  <c r="E161" i="12"/>
  <c r="G161" i="12" s="1"/>
  <c r="C77" i="15"/>
  <c r="E77" i="15" s="1"/>
  <c r="I77" i="15" s="1"/>
  <c r="D76" i="15"/>
  <c r="K60" i="15"/>
  <c r="D175" i="12"/>
  <c r="F175" i="12" s="1"/>
  <c r="J62" i="15" l="1"/>
  <c r="F62" i="15"/>
  <c r="D77" i="15"/>
  <c r="C78" i="15"/>
  <c r="E78" i="15" s="1"/>
  <c r="I78" i="15" s="1"/>
  <c r="G61" i="15"/>
  <c r="D176" i="12"/>
  <c r="F176" i="12" s="1"/>
  <c r="J63" i="15" l="1"/>
  <c r="F63" i="15"/>
  <c r="H61" i="15"/>
  <c r="E162" i="12"/>
  <c r="G162" i="12" s="1"/>
  <c r="G62" i="15"/>
  <c r="K61" i="15"/>
  <c r="D78" i="15"/>
  <c r="C79" i="15"/>
  <c r="E79" i="15" s="1"/>
  <c r="I79" i="15" s="1"/>
  <c r="D177" i="12"/>
  <c r="F177" i="12" s="1"/>
  <c r="J64" i="15" l="1"/>
  <c r="F64" i="15"/>
  <c r="H62" i="15"/>
  <c r="E163" i="12"/>
  <c r="G163" i="12" s="1"/>
  <c r="K62" i="15"/>
  <c r="C80" i="15"/>
  <c r="E80" i="15" s="1"/>
  <c r="I80" i="15" s="1"/>
  <c r="D79" i="15"/>
  <c r="D178" i="12"/>
  <c r="F178" i="12" s="1"/>
  <c r="J65" i="15" l="1"/>
  <c r="F65" i="15"/>
  <c r="G63" i="15"/>
  <c r="D80" i="15"/>
  <c r="C81" i="15"/>
  <c r="E81" i="15" s="1"/>
  <c r="I81" i="15" s="1"/>
  <c r="D179" i="12"/>
  <c r="F179" i="12" s="1"/>
  <c r="J66" i="15" l="1"/>
  <c r="J67" i="15" s="1"/>
  <c r="J68" i="15" s="1"/>
  <c r="J69" i="15" s="1"/>
  <c r="J70" i="15" s="1"/>
  <c r="J71" i="15" s="1"/>
  <c r="J72" i="15" s="1"/>
  <c r="J73" i="15" s="1"/>
  <c r="J74" i="15" s="1"/>
  <c r="J75" i="15" s="1"/>
  <c r="J76" i="15" s="1"/>
  <c r="J77" i="15" s="1"/>
  <c r="J78" i="15" s="1"/>
  <c r="J79" i="15" s="1"/>
  <c r="J80" i="15" s="1"/>
  <c r="J81" i="15" s="1"/>
  <c r="F66" i="15"/>
  <c r="H63" i="15"/>
  <c r="E164" i="12"/>
  <c r="G164" i="12" s="1"/>
  <c r="F67" i="15"/>
  <c r="K63" i="15"/>
  <c r="G64" i="15"/>
  <c r="D81" i="15"/>
  <c r="C82" i="15"/>
  <c r="E82" i="15" s="1"/>
  <c r="I82" i="15" s="1"/>
  <c r="D180" i="12"/>
  <c r="F180" i="12" s="1"/>
  <c r="J82" i="15" l="1"/>
  <c r="H64" i="15"/>
  <c r="E165" i="12"/>
  <c r="G165" i="12" s="1"/>
  <c r="F68" i="15"/>
  <c r="K64" i="15"/>
  <c r="D82" i="15"/>
  <c r="C83" i="15"/>
  <c r="E83" i="15" s="1"/>
  <c r="I83" i="15" s="1"/>
  <c r="D181" i="12"/>
  <c r="F181" i="12" s="1"/>
  <c r="J83" i="15" l="1"/>
  <c r="F69" i="15"/>
  <c r="G65" i="15"/>
  <c r="D83" i="15"/>
  <c r="C84" i="15"/>
  <c r="E84" i="15" s="1"/>
  <c r="I84" i="15" s="1"/>
  <c r="D182" i="12"/>
  <c r="F182" i="12" s="1"/>
  <c r="J84" i="15" l="1"/>
  <c r="H65" i="15"/>
  <c r="E166" i="12"/>
  <c r="G166" i="12" s="1"/>
  <c r="F70" i="15"/>
  <c r="K65" i="15"/>
  <c r="D84" i="15"/>
  <c r="C85" i="15"/>
  <c r="E85" i="15" s="1"/>
  <c r="I85" i="15" s="1"/>
  <c r="D183" i="12"/>
  <c r="F183" i="12" s="1"/>
  <c r="J85" i="15" l="1"/>
  <c r="F71" i="15"/>
  <c r="G66" i="15"/>
  <c r="C86" i="15"/>
  <c r="E86" i="15" s="1"/>
  <c r="I86" i="15" s="1"/>
  <c r="D85" i="15"/>
  <c r="D184" i="12"/>
  <c r="F184" i="12" s="1"/>
  <c r="J86" i="15" l="1"/>
  <c r="H66" i="15"/>
  <c r="E167" i="12"/>
  <c r="G167" i="12" s="1"/>
  <c r="F72" i="15"/>
  <c r="K66" i="15"/>
  <c r="D86" i="15"/>
  <c r="C87" i="15"/>
  <c r="E87" i="15" s="1"/>
  <c r="I87" i="15" s="1"/>
  <c r="D185" i="12"/>
  <c r="F185" i="12" s="1"/>
  <c r="J87" i="15" l="1"/>
  <c r="F73" i="15"/>
  <c r="G67" i="15"/>
  <c r="C88" i="15"/>
  <c r="E88" i="15" s="1"/>
  <c r="I88" i="15" s="1"/>
  <c r="D87" i="15"/>
  <c r="D186" i="12"/>
  <c r="F186" i="12" s="1"/>
  <c r="J88" i="15" l="1"/>
  <c r="H67" i="15"/>
  <c r="E168" i="12"/>
  <c r="G168" i="12" s="1"/>
  <c r="F74" i="15"/>
  <c r="K67" i="15"/>
  <c r="D88" i="15"/>
  <c r="C89" i="15"/>
  <c r="E89" i="15" s="1"/>
  <c r="I89" i="15" s="1"/>
  <c r="D187" i="12"/>
  <c r="F187" i="12" s="1"/>
  <c r="J89" i="15" l="1"/>
  <c r="F75" i="15"/>
  <c r="G68" i="15"/>
  <c r="D89" i="15"/>
  <c r="C90" i="15"/>
  <c r="E90" i="15" s="1"/>
  <c r="I90" i="15" s="1"/>
  <c r="D188" i="12"/>
  <c r="F188" i="12" s="1"/>
  <c r="J90" i="15" l="1"/>
  <c r="H68" i="15"/>
  <c r="E169" i="12"/>
  <c r="G169" i="12" s="1"/>
  <c r="F76" i="15"/>
  <c r="K68" i="15"/>
  <c r="C91" i="15"/>
  <c r="E91" i="15" s="1"/>
  <c r="I91" i="15" s="1"/>
  <c r="D90" i="15"/>
  <c r="D189" i="12"/>
  <c r="F189" i="12" s="1"/>
  <c r="J91" i="15" l="1"/>
  <c r="F77" i="15"/>
  <c r="G69" i="15"/>
  <c r="D91" i="15"/>
  <c r="C92" i="15"/>
  <c r="E92" i="15" s="1"/>
  <c r="I92" i="15" s="1"/>
  <c r="D190" i="12"/>
  <c r="F190" i="12" s="1"/>
  <c r="J92" i="15" l="1"/>
  <c r="H69" i="15"/>
  <c r="E170" i="12"/>
  <c r="G170" i="12" s="1"/>
  <c r="F78" i="15"/>
  <c r="K69" i="15"/>
  <c r="D92" i="15"/>
  <c r="C93" i="15"/>
  <c r="E93" i="15" s="1"/>
  <c r="I93" i="15" s="1"/>
  <c r="D191" i="12"/>
  <c r="F191" i="12" s="1"/>
  <c r="J93" i="15" l="1"/>
  <c r="F79" i="15"/>
  <c r="G70" i="15"/>
  <c r="C94" i="15"/>
  <c r="E94" i="15" s="1"/>
  <c r="I94" i="15" s="1"/>
  <c r="D93" i="15"/>
  <c r="D192" i="12"/>
  <c r="F192" i="12" s="1"/>
  <c r="J94" i="15" l="1"/>
  <c r="H70" i="15"/>
  <c r="E171" i="12"/>
  <c r="G171" i="12" s="1"/>
  <c r="F80" i="15"/>
  <c r="K70" i="15"/>
  <c r="D94" i="15"/>
  <c r="C95" i="15"/>
  <c r="E95" i="15" s="1"/>
  <c r="I95" i="15" s="1"/>
  <c r="D193" i="12"/>
  <c r="F193" i="12" s="1"/>
  <c r="J95" i="15" l="1"/>
  <c r="F81" i="15"/>
  <c r="G71" i="15"/>
  <c r="D95" i="15"/>
  <c r="C96" i="15"/>
  <c r="E96" i="15" s="1"/>
  <c r="I96" i="15" s="1"/>
  <c r="D194" i="12"/>
  <c r="F194" i="12" s="1"/>
  <c r="J96" i="15" l="1"/>
  <c r="H71" i="15"/>
  <c r="G72" i="15" s="1"/>
  <c r="E172" i="12"/>
  <c r="G172" i="12" s="1"/>
  <c r="F82" i="15"/>
  <c r="K71" i="15"/>
  <c r="D96" i="15"/>
  <c r="C97" i="15"/>
  <c r="E97" i="15" s="1"/>
  <c r="I97" i="15" s="1"/>
  <c r="D195" i="12"/>
  <c r="F195" i="12" s="1"/>
  <c r="J97" i="15" l="1"/>
  <c r="H72" i="15"/>
  <c r="E173" i="12"/>
  <c r="G173" i="12" s="1"/>
  <c r="F83" i="15"/>
  <c r="K72" i="15"/>
  <c r="G73" i="15"/>
  <c r="D97" i="15"/>
  <c r="C98" i="15"/>
  <c r="E98" i="15" s="1"/>
  <c r="I98" i="15" s="1"/>
  <c r="D196" i="12"/>
  <c r="F196" i="12" s="1"/>
  <c r="J98" i="15" l="1"/>
  <c r="H73" i="15"/>
  <c r="E174" i="12"/>
  <c r="G174" i="12" s="1"/>
  <c r="F84" i="15"/>
  <c r="K73" i="15"/>
  <c r="D98" i="15"/>
  <c r="C99" i="15"/>
  <c r="E99" i="15" s="1"/>
  <c r="I99" i="15" s="1"/>
  <c r="D197" i="12"/>
  <c r="F197" i="12" s="1"/>
  <c r="J99" i="15" l="1"/>
  <c r="F85" i="15"/>
  <c r="G74" i="15"/>
  <c r="D99" i="15"/>
  <c r="C100" i="15"/>
  <c r="E100" i="15" s="1"/>
  <c r="I100" i="15" s="1"/>
  <c r="D198" i="12"/>
  <c r="F198" i="12" s="1"/>
  <c r="J100" i="15" l="1"/>
  <c r="H74" i="15"/>
  <c r="E175" i="12"/>
  <c r="G175" i="12" s="1"/>
  <c r="F86" i="15"/>
  <c r="K74" i="15"/>
  <c r="G75" i="15"/>
  <c r="E176" i="12" s="1"/>
  <c r="G176" i="12" s="1"/>
  <c r="D100" i="15"/>
  <c r="C101" i="15"/>
  <c r="E101" i="15" s="1"/>
  <c r="I101" i="15" s="1"/>
  <c r="D199" i="12"/>
  <c r="F199" i="12" s="1"/>
  <c r="J101" i="15" l="1"/>
  <c r="K75" i="15"/>
  <c r="H75" i="15"/>
  <c r="F87" i="15"/>
  <c r="G76" i="15"/>
  <c r="E177" i="12" s="1"/>
  <c r="G177" i="12" s="1"/>
  <c r="D101" i="15"/>
  <c r="C102" i="15"/>
  <c r="E102" i="15" s="1"/>
  <c r="I102" i="15" s="1"/>
  <c r="D200" i="12"/>
  <c r="F200" i="12" s="1"/>
  <c r="J102" i="15" l="1"/>
  <c r="H76" i="15"/>
  <c r="F88" i="15"/>
  <c r="K76" i="15"/>
  <c r="G77" i="15"/>
  <c r="E178" i="12" s="1"/>
  <c r="G178" i="12" s="1"/>
  <c r="D102" i="15"/>
  <c r="C103" i="15"/>
  <c r="E103" i="15" s="1"/>
  <c r="I103" i="15" s="1"/>
  <c r="D201" i="12"/>
  <c r="F201" i="12" s="1"/>
  <c r="J103" i="15" l="1"/>
  <c r="H77" i="15"/>
  <c r="F89" i="15"/>
  <c r="K77" i="15"/>
  <c r="D103" i="15"/>
  <c r="C104" i="15"/>
  <c r="E104" i="15" s="1"/>
  <c r="I104" i="15" s="1"/>
  <c r="D202" i="12"/>
  <c r="F202" i="12" s="1"/>
  <c r="J104" i="15" l="1"/>
  <c r="F90" i="15"/>
  <c r="G78" i="15"/>
  <c r="D104" i="15"/>
  <c r="C105" i="15"/>
  <c r="E105" i="15" s="1"/>
  <c r="I105" i="15" s="1"/>
  <c r="D203" i="12"/>
  <c r="F203" i="12" s="1"/>
  <c r="J105" i="15" l="1"/>
  <c r="H78" i="15"/>
  <c r="E179" i="12"/>
  <c r="G179" i="12" s="1"/>
  <c r="F91" i="15"/>
  <c r="K78" i="15"/>
  <c r="D105" i="15"/>
  <c r="C106" i="15"/>
  <c r="E106" i="15" s="1"/>
  <c r="I106" i="15" s="1"/>
  <c r="D204" i="12"/>
  <c r="F204" i="12" s="1"/>
  <c r="J106" i="15" l="1"/>
  <c r="F92" i="15"/>
  <c r="G79" i="15"/>
  <c r="D106" i="15"/>
  <c r="C107" i="15"/>
  <c r="E107" i="15" s="1"/>
  <c r="I107" i="15" s="1"/>
  <c r="D205" i="12"/>
  <c r="F205" i="12" s="1"/>
  <c r="J107" i="15" l="1"/>
  <c r="H79" i="15"/>
  <c r="E180" i="12"/>
  <c r="G180" i="12" s="1"/>
  <c r="F93" i="15"/>
  <c r="K79" i="15"/>
  <c r="D107" i="15"/>
  <c r="C108" i="15"/>
  <c r="E108" i="15" s="1"/>
  <c r="I108" i="15" s="1"/>
  <c r="D206" i="12"/>
  <c r="F206" i="12" s="1"/>
  <c r="J108" i="15" l="1"/>
  <c r="F94" i="15"/>
  <c r="G80" i="15"/>
  <c r="D108" i="15"/>
  <c r="C109" i="15"/>
  <c r="E109" i="15" s="1"/>
  <c r="I109" i="15" s="1"/>
  <c r="D207" i="12"/>
  <c r="F207" i="12" s="1"/>
  <c r="J109" i="15" l="1"/>
  <c r="H80" i="15"/>
  <c r="E181" i="12"/>
  <c r="G181" i="12" s="1"/>
  <c r="F95" i="15"/>
  <c r="K80" i="15"/>
  <c r="D109" i="15"/>
  <c r="C110" i="15"/>
  <c r="E110" i="15" s="1"/>
  <c r="I110" i="15" s="1"/>
  <c r="D208" i="12"/>
  <c r="F208" i="12" s="1"/>
  <c r="J110" i="15" l="1"/>
  <c r="F96" i="15"/>
  <c r="G81" i="15"/>
  <c r="D110" i="15"/>
  <c r="C111" i="15"/>
  <c r="E111" i="15" s="1"/>
  <c r="I111" i="15" s="1"/>
  <c r="D209" i="12"/>
  <c r="F209" i="12" s="1"/>
  <c r="J111" i="15" l="1"/>
  <c r="H81" i="15"/>
  <c r="E182" i="12"/>
  <c r="G182" i="12" s="1"/>
  <c r="F97" i="15"/>
  <c r="K81" i="15"/>
  <c r="D111" i="15"/>
  <c r="C112" i="15"/>
  <c r="E112" i="15" s="1"/>
  <c r="I112" i="15" s="1"/>
  <c r="D210" i="12"/>
  <c r="F210" i="12" s="1"/>
  <c r="J112" i="15" l="1"/>
  <c r="F98" i="15"/>
  <c r="G82" i="15"/>
  <c r="D112" i="15"/>
  <c r="C113" i="15"/>
  <c r="E113" i="15" s="1"/>
  <c r="I113" i="15" s="1"/>
  <c r="D211" i="12"/>
  <c r="F211" i="12" s="1"/>
  <c r="J113" i="15" l="1"/>
  <c r="H82" i="15"/>
  <c r="E183" i="12"/>
  <c r="G183" i="12" s="1"/>
  <c r="F99" i="15"/>
  <c r="K82" i="15"/>
  <c r="D113" i="15"/>
  <c r="C114" i="15"/>
  <c r="E114" i="15" s="1"/>
  <c r="I114" i="15" s="1"/>
  <c r="D212" i="12"/>
  <c r="F212" i="12" s="1"/>
  <c r="J114" i="15" l="1"/>
  <c r="F100" i="15"/>
  <c r="G83" i="15"/>
  <c r="D114" i="15"/>
  <c r="C115" i="15"/>
  <c r="E115" i="15" s="1"/>
  <c r="I115" i="15" s="1"/>
  <c r="D213" i="12"/>
  <c r="F213" i="12" s="1"/>
  <c r="J115" i="15" l="1"/>
  <c r="H83" i="15"/>
  <c r="E184" i="12"/>
  <c r="G184" i="12" s="1"/>
  <c r="F101" i="15"/>
  <c r="K83" i="15"/>
  <c r="D115" i="15"/>
  <c r="C116" i="15"/>
  <c r="E116" i="15" s="1"/>
  <c r="I116" i="15" s="1"/>
  <c r="D214" i="12"/>
  <c r="F214" i="12" s="1"/>
  <c r="J116" i="15" l="1"/>
  <c r="F102" i="15"/>
  <c r="G84" i="15"/>
  <c r="C117" i="15"/>
  <c r="E117" i="15" s="1"/>
  <c r="I117" i="15" s="1"/>
  <c r="D116" i="15"/>
  <c r="D215" i="12"/>
  <c r="F215" i="12" s="1"/>
  <c r="J117" i="15" l="1"/>
  <c r="H84" i="15"/>
  <c r="E185" i="12"/>
  <c r="G185" i="12" s="1"/>
  <c r="F103" i="15"/>
  <c r="K84" i="15"/>
  <c r="D117" i="15"/>
  <c r="C118" i="15"/>
  <c r="E118" i="15" s="1"/>
  <c r="I118" i="15" s="1"/>
  <c r="D216" i="12"/>
  <c r="F216" i="12" s="1"/>
  <c r="J118" i="15" l="1"/>
  <c r="F104" i="15"/>
  <c r="G85" i="15"/>
  <c r="D118" i="15"/>
  <c r="C119" i="15"/>
  <c r="E119" i="15" s="1"/>
  <c r="I119" i="15" s="1"/>
  <c r="D217" i="12"/>
  <c r="F217" i="12" s="1"/>
  <c r="J119" i="15" l="1"/>
  <c r="H85" i="15"/>
  <c r="E186" i="12"/>
  <c r="G186" i="12" s="1"/>
  <c r="F105" i="15"/>
  <c r="K85" i="15"/>
  <c r="C120" i="15"/>
  <c r="E120" i="15" s="1"/>
  <c r="I120" i="15" s="1"/>
  <c r="D119" i="15"/>
  <c r="D218" i="12"/>
  <c r="F218" i="12" s="1"/>
  <c r="J120" i="15" l="1"/>
  <c r="F106" i="15"/>
  <c r="G86" i="15"/>
  <c r="D120" i="15"/>
  <c r="C121" i="15"/>
  <c r="E121" i="15" s="1"/>
  <c r="I121" i="15" s="1"/>
  <c r="D219" i="12"/>
  <c r="F219" i="12" s="1"/>
  <c r="J121" i="15" l="1"/>
  <c r="H86" i="15"/>
  <c r="E187" i="12"/>
  <c r="G187" i="12" s="1"/>
  <c r="F107" i="15"/>
  <c r="K86" i="15"/>
  <c r="D121" i="15"/>
  <c r="C122" i="15"/>
  <c r="E122" i="15" s="1"/>
  <c r="I122" i="15" s="1"/>
  <c r="D220" i="12"/>
  <c r="F220" i="12" s="1"/>
  <c r="J122" i="15" l="1"/>
  <c r="F108" i="15"/>
  <c r="G87" i="15"/>
  <c r="D122" i="15"/>
  <c r="C123" i="15"/>
  <c r="E123" i="15" s="1"/>
  <c r="I123" i="15" s="1"/>
  <c r="D221" i="12"/>
  <c r="F221" i="12" s="1"/>
  <c r="J123" i="15" l="1"/>
  <c r="H87" i="15"/>
  <c r="E188" i="12"/>
  <c r="G188" i="12" s="1"/>
  <c r="F109" i="15"/>
  <c r="K87" i="15"/>
  <c r="D123" i="15"/>
  <c r="C124" i="15"/>
  <c r="E124" i="15" s="1"/>
  <c r="I124" i="15" s="1"/>
  <c r="D222" i="12"/>
  <c r="F222" i="12" s="1"/>
  <c r="J124" i="15" l="1"/>
  <c r="F110" i="15"/>
  <c r="G88" i="15"/>
  <c r="D124" i="15"/>
  <c r="C125" i="15"/>
  <c r="E125" i="15" s="1"/>
  <c r="I125" i="15" s="1"/>
  <c r="D223" i="12"/>
  <c r="F223" i="12" s="1"/>
  <c r="J125" i="15" l="1"/>
  <c r="H88" i="15"/>
  <c r="E189" i="12"/>
  <c r="G189" i="12" s="1"/>
  <c r="F111" i="15"/>
  <c r="K88" i="15"/>
  <c r="D125" i="15"/>
  <c r="C126" i="15"/>
  <c r="E126" i="15" s="1"/>
  <c r="I126" i="15" s="1"/>
  <c r="D224" i="12"/>
  <c r="F224" i="12" s="1"/>
  <c r="J126" i="15" l="1"/>
  <c r="F112" i="15"/>
  <c r="G89" i="15"/>
  <c r="D126" i="15"/>
  <c r="C127" i="15"/>
  <c r="E127" i="15" s="1"/>
  <c r="I127" i="15" s="1"/>
  <c r="D225" i="12"/>
  <c r="F225" i="12" s="1"/>
  <c r="J127" i="15" l="1"/>
  <c r="H89" i="15"/>
  <c r="E190" i="12"/>
  <c r="G190" i="12" s="1"/>
  <c r="F113" i="15"/>
  <c r="K89" i="15"/>
  <c r="D127" i="15"/>
  <c r="C128" i="15"/>
  <c r="E128" i="15" s="1"/>
  <c r="I128" i="15" s="1"/>
  <c r="D226" i="12"/>
  <c r="F226" i="12" s="1"/>
  <c r="J128" i="15" l="1"/>
  <c r="F114" i="15"/>
  <c r="G90" i="15"/>
  <c r="D128" i="15"/>
  <c r="C129" i="15"/>
  <c r="E129" i="15" s="1"/>
  <c r="I129" i="15" s="1"/>
  <c r="D227" i="12"/>
  <c r="F227" i="12" s="1"/>
  <c r="J129" i="15" l="1"/>
  <c r="H90" i="15"/>
  <c r="E191" i="12"/>
  <c r="G191" i="12" s="1"/>
  <c r="F115" i="15"/>
  <c r="K90" i="15"/>
  <c r="D129" i="15"/>
  <c r="C130" i="15"/>
  <c r="E130" i="15" s="1"/>
  <c r="I130" i="15" s="1"/>
  <c r="D228" i="12"/>
  <c r="F228" i="12" s="1"/>
  <c r="J130" i="15" l="1"/>
  <c r="F116" i="15"/>
  <c r="G91" i="15"/>
  <c r="C131" i="15"/>
  <c r="E131" i="15" s="1"/>
  <c r="I131" i="15" s="1"/>
  <c r="D130" i="15"/>
  <c r="D229" i="12"/>
  <c r="F229" i="12" s="1"/>
  <c r="J131" i="15" l="1"/>
  <c r="H91" i="15"/>
  <c r="E192" i="12"/>
  <c r="G192" i="12" s="1"/>
  <c r="F117" i="15"/>
  <c r="K91" i="15"/>
  <c r="C132" i="15"/>
  <c r="E132" i="15" s="1"/>
  <c r="I132" i="15" s="1"/>
  <c r="D131" i="15"/>
  <c r="D230" i="12"/>
  <c r="F230" i="12" s="1"/>
  <c r="J132" i="15" l="1"/>
  <c r="F118" i="15"/>
  <c r="G92" i="15"/>
  <c r="D132" i="15"/>
  <c r="C133" i="15"/>
  <c r="E133" i="15" s="1"/>
  <c r="I133" i="15" s="1"/>
  <c r="D231" i="12"/>
  <c r="F231" i="12" s="1"/>
  <c r="J133" i="15" l="1"/>
  <c r="H92" i="15"/>
  <c r="E193" i="12"/>
  <c r="G193" i="12" s="1"/>
  <c r="F119" i="15"/>
  <c r="K92" i="15"/>
  <c r="D133" i="15"/>
  <c r="C134" i="15"/>
  <c r="E134" i="15" s="1"/>
  <c r="I134" i="15" s="1"/>
  <c r="D232" i="12"/>
  <c r="F232" i="12" s="1"/>
  <c r="J134" i="15" l="1"/>
  <c r="F120" i="15"/>
  <c r="G93" i="15"/>
  <c r="D134" i="15"/>
  <c r="C135" i="15"/>
  <c r="E135" i="15" s="1"/>
  <c r="I135" i="15" s="1"/>
  <c r="D233" i="12"/>
  <c r="F233" i="12" s="1"/>
  <c r="J135" i="15" l="1"/>
  <c r="H93" i="15"/>
  <c r="E194" i="12"/>
  <c r="G194" i="12" s="1"/>
  <c r="F121" i="15"/>
  <c r="K93" i="15"/>
  <c r="D135" i="15"/>
  <c r="C136" i="15"/>
  <c r="E136" i="15" s="1"/>
  <c r="I136" i="15" s="1"/>
  <c r="D234" i="12"/>
  <c r="F234" i="12" s="1"/>
  <c r="J136" i="15" l="1"/>
  <c r="F122" i="15"/>
  <c r="G94" i="15"/>
  <c r="D136" i="15"/>
  <c r="C137" i="15"/>
  <c r="E137" i="15" s="1"/>
  <c r="I137" i="15" s="1"/>
  <c r="D235" i="12"/>
  <c r="F235" i="12" s="1"/>
  <c r="J137" i="15" l="1"/>
  <c r="H94" i="15"/>
  <c r="E195" i="12"/>
  <c r="G195" i="12" s="1"/>
  <c r="F123" i="15"/>
  <c r="K94" i="15"/>
  <c r="D137" i="15"/>
  <c r="C138" i="15"/>
  <c r="E138" i="15" s="1"/>
  <c r="I138" i="15" s="1"/>
  <c r="D236" i="12"/>
  <c r="F236" i="12" s="1"/>
  <c r="J138" i="15" l="1"/>
  <c r="F124" i="15"/>
  <c r="G95" i="15"/>
  <c r="D138" i="15"/>
  <c r="C139" i="15"/>
  <c r="E139" i="15" s="1"/>
  <c r="I139" i="15" s="1"/>
  <c r="D237" i="12"/>
  <c r="F237" i="12" s="1"/>
  <c r="J139" i="15" l="1"/>
  <c r="H95" i="15"/>
  <c r="E196" i="12"/>
  <c r="G196" i="12" s="1"/>
  <c r="F125" i="15"/>
  <c r="K95" i="15"/>
  <c r="D139" i="15"/>
  <c r="C140" i="15"/>
  <c r="E140" i="15" s="1"/>
  <c r="I140" i="15" s="1"/>
  <c r="D238" i="12"/>
  <c r="F238" i="12" s="1"/>
  <c r="J140" i="15" l="1"/>
  <c r="F126" i="15"/>
  <c r="G96" i="15"/>
  <c r="D140" i="15"/>
  <c r="C141" i="15"/>
  <c r="E141" i="15" s="1"/>
  <c r="I141" i="15" s="1"/>
  <c r="D239" i="12"/>
  <c r="F239" i="12" s="1"/>
  <c r="J141" i="15" l="1"/>
  <c r="H96" i="15"/>
  <c r="E197" i="12"/>
  <c r="G197" i="12" s="1"/>
  <c r="F127" i="15"/>
  <c r="K96" i="15"/>
  <c r="D141" i="15"/>
  <c r="C142" i="15"/>
  <c r="E142" i="15" s="1"/>
  <c r="I142" i="15" s="1"/>
  <c r="D240" i="12"/>
  <c r="F240" i="12" s="1"/>
  <c r="J142" i="15" l="1"/>
  <c r="F128" i="15"/>
  <c r="G97" i="15"/>
  <c r="D142" i="15"/>
  <c r="C143" i="15"/>
  <c r="E143" i="15" s="1"/>
  <c r="I143" i="15" s="1"/>
  <c r="D241" i="12"/>
  <c r="F241" i="12" s="1"/>
  <c r="J143" i="15" l="1"/>
  <c r="H97" i="15"/>
  <c r="E198" i="12"/>
  <c r="G198" i="12" s="1"/>
  <c r="F129" i="15"/>
  <c r="K97" i="15"/>
  <c r="D143" i="15"/>
  <c r="C144" i="15"/>
  <c r="E144" i="15" s="1"/>
  <c r="I144" i="15" s="1"/>
  <c r="D242" i="12"/>
  <c r="F242" i="12" s="1"/>
  <c r="J144" i="15" l="1"/>
  <c r="F130" i="15"/>
  <c r="G98" i="15"/>
  <c r="D144" i="15"/>
  <c r="D243" i="12"/>
  <c r="F243" i="12" s="1"/>
  <c r="H98" i="15" l="1"/>
  <c r="E199" i="12"/>
  <c r="G199" i="12" s="1"/>
  <c r="F131" i="15"/>
  <c r="K98" i="15"/>
  <c r="D244" i="12"/>
  <c r="F244" i="12" s="1"/>
  <c r="F132" i="15" l="1"/>
  <c r="G99" i="15"/>
  <c r="D245" i="12"/>
  <c r="F245" i="12" s="1"/>
  <c r="H99" i="15" l="1"/>
  <c r="E200" i="12"/>
  <c r="G200" i="12" s="1"/>
  <c r="F133" i="15"/>
  <c r="K99" i="15"/>
  <c r="F134" i="15" l="1"/>
  <c r="G100" i="15"/>
  <c r="E21" i="12"/>
  <c r="E68" i="12"/>
  <c r="E88" i="12"/>
  <c r="E69" i="12"/>
  <c r="E71" i="12"/>
  <c r="H100" i="15" l="1"/>
  <c r="E201" i="12"/>
  <c r="G201" i="12" s="1"/>
  <c r="F135" i="15"/>
  <c r="G101" i="15"/>
  <c r="K100" i="15"/>
  <c r="H101" i="15" l="1"/>
  <c r="E202" i="12"/>
  <c r="G202" i="12" s="1"/>
  <c r="F136" i="15"/>
  <c r="K101" i="15"/>
  <c r="G102" i="15"/>
  <c r="H102" i="15" l="1"/>
  <c r="E203" i="12"/>
  <c r="G203" i="12" s="1"/>
  <c r="F137" i="15"/>
  <c r="K102" i="15"/>
  <c r="G103" i="15"/>
  <c r="H103" i="15" l="1"/>
  <c r="E204" i="12"/>
  <c r="G204" i="12" s="1"/>
  <c r="F138" i="15"/>
  <c r="K103" i="15"/>
  <c r="F139" i="15" l="1"/>
  <c r="G104" i="15"/>
  <c r="H104" i="15" l="1"/>
  <c r="E205" i="12"/>
  <c r="G205" i="12" s="1"/>
  <c r="F140" i="15"/>
  <c r="G105" i="15"/>
  <c r="K104" i="15"/>
  <c r="H105" i="15" l="1"/>
  <c r="E206" i="12"/>
  <c r="G206" i="12" s="1"/>
  <c r="F141" i="15"/>
  <c r="K105" i="15"/>
  <c r="G106" i="15"/>
  <c r="H106" i="15" l="1"/>
  <c r="E207" i="12"/>
  <c r="G207" i="12" s="1"/>
  <c r="F142" i="15"/>
  <c r="K106" i="15"/>
  <c r="F143" i="15" l="1"/>
  <c r="G107" i="15"/>
  <c r="H107" i="15" l="1"/>
  <c r="E208" i="12"/>
  <c r="G208" i="12" s="1"/>
  <c r="F144" i="15"/>
  <c r="K107" i="15"/>
  <c r="I22" i="15" l="1"/>
  <c r="G108" i="15"/>
  <c r="F22" i="15"/>
  <c r="H108" i="15" l="1"/>
  <c r="E209" i="12"/>
  <c r="G209" i="12" s="1"/>
  <c r="K108" i="15"/>
  <c r="G109" i="15"/>
  <c r="H109" i="15" l="1"/>
  <c r="E210" i="12"/>
  <c r="G210" i="12" s="1"/>
  <c r="K109" i="15"/>
  <c r="G110" i="15" l="1"/>
  <c r="H110" i="15" l="1"/>
  <c r="E211" i="12"/>
  <c r="G211" i="12" s="1"/>
  <c r="K110" i="15"/>
  <c r="G111" i="15" l="1"/>
  <c r="H111" i="15" l="1"/>
  <c r="E212" i="12"/>
  <c r="G212" i="12" s="1"/>
  <c r="K111" i="15"/>
  <c r="G112" i="15"/>
  <c r="E213" i="12" s="1"/>
  <c r="G213" i="12" s="1"/>
  <c r="K112" i="15" l="1"/>
  <c r="H112" i="15"/>
  <c r="G113" i="15"/>
  <c r="E214" i="12" s="1"/>
  <c r="G214" i="12" s="1"/>
  <c r="H113" i="15" l="1"/>
  <c r="K113" i="15"/>
  <c r="G114" i="15" l="1"/>
  <c r="H114" i="15" l="1"/>
  <c r="E215" i="12"/>
  <c r="G215" i="12" s="1"/>
  <c r="K114" i="15"/>
  <c r="G115" i="15"/>
  <c r="H115" i="15" l="1"/>
  <c r="E216" i="12"/>
  <c r="G216" i="12" s="1"/>
  <c r="K115" i="15"/>
  <c r="G116" i="15" l="1"/>
  <c r="H116" i="15" l="1"/>
  <c r="E217" i="12"/>
  <c r="G217" i="12" s="1"/>
  <c r="K116" i="15"/>
  <c r="G117" i="15" l="1"/>
  <c r="H117" i="15" l="1"/>
  <c r="E218" i="12"/>
  <c r="G218" i="12" s="1"/>
  <c r="K117" i="15"/>
  <c r="G118" i="15"/>
  <c r="H118" i="15" l="1"/>
  <c r="E219" i="12"/>
  <c r="G219" i="12" s="1"/>
  <c r="K118" i="15"/>
  <c r="G119" i="15"/>
  <c r="E220" i="12" s="1"/>
  <c r="G220" i="12" s="1"/>
  <c r="K119" i="15" l="1"/>
  <c r="H119" i="15"/>
  <c r="G120" i="15"/>
  <c r="E221" i="12" s="1"/>
  <c r="G221" i="12" s="1"/>
  <c r="H120" i="15" l="1"/>
  <c r="K120" i="15"/>
  <c r="G121" i="15" l="1"/>
  <c r="H121" i="15" l="1"/>
  <c r="E222" i="12"/>
  <c r="G222" i="12" s="1"/>
  <c r="K121" i="15"/>
  <c r="G122" i="15" l="1"/>
  <c r="H122" i="15" l="1"/>
  <c r="E223" i="12"/>
  <c r="G223" i="12" s="1"/>
  <c r="K122" i="15"/>
  <c r="G123" i="15" l="1"/>
  <c r="H123" i="15" l="1"/>
  <c r="E224" i="12"/>
  <c r="G224" i="12" s="1"/>
  <c r="K123" i="15"/>
  <c r="G124" i="15" l="1"/>
  <c r="H124" i="15" l="1"/>
  <c r="E225" i="12"/>
  <c r="G225" i="12" s="1"/>
  <c r="K124" i="15"/>
  <c r="G125" i="15" l="1"/>
  <c r="H125" i="15" l="1"/>
  <c r="E226" i="12"/>
  <c r="G226" i="12" s="1"/>
  <c r="K125" i="15"/>
  <c r="G126" i="15" l="1"/>
  <c r="H126" i="15" l="1"/>
  <c r="E227" i="12"/>
  <c r="G227" i="12" s="1"/>
  <c r="K126" i="15"/>
  <c r="G127" i="15"/>
  <c r="H127" i="15" l="1"/>
  <c r="E228" i="12"/>
  <c r="G228" i="12" s="1"/>
  <c r="K127" i="15"/>
  <c r="G128" i="15" l="1"/>
  <c r="H128" i="15" l="1"/>
  <c r="E229" i="12"/>
  <c r="G229" i="12" s="1"/>
  <c r="K128" i="15"/>
  <c r="G129" i="15" l="1"/>
  <c r="H129" i="15" l="1"/>
  <c r="E230" i="12"/>
  <c r="G230" i="12" s="1"/>
  <c r="K129" i="15"/>
  <c r="G130" i="15"/>
  <c r="H130" i="15" l="1"/>
  <c r="E231" i="12"/>
  <c r="G231" i="12" s="1"/>
  <c r="K130" i="15"/>
  <c r="G131" i="15" l="1"/>
  <c r="H131" i="15" l="1"/>
  <c r="E232" i="12"/>
  <c r="G232" i="12" s="1"/>
  <c r="K131" i="15"/>
  <c r="G132" i="15" l="1"/>
  <c r="H132" i="15" l="1"/>
  <c r="E233" i="12"/>
  <c r="G233" i="12" s="1"/>
  <c r="K132" i="15"/>
  <c r="G133" i="15" l="1"/>
  <c r="H133" i="15" l="1"/>
  <c r="E234" i="12"/>
  <c r="G234" i="12" s="1"/>
  <c r="K133" i="15"/>
  <c r="G134" i="15"/>
  <c r="H134" i="15" l="1"/>
  <c r="E235" i="12"/>
  <c r="G235" i="12" s="1"/>
  <c r="K134" i="15"/>
  <c r="G135" i="15"/>
  <c r="E236" i="12" s="1"/>
  <c r="G236" i="12" s="1"/>
  <c r="K135" i="15" l="1"/>
  <c r="H135" i="15"/>
  <c r="G136" i="15"/>
  <c r="E237" i="12" s="1"/>
  <c r="G237" i="12" s="1"/>
  <c r="H136" i="15" l="1"/>
  <c r="K136" i="15"/>
  <c r="G137" i="15" l="1"/>
  <c r="H137" i="15" l="1"/>
  <c r="E238" i="12"/>
  <c r="G238" i="12" s="1"/>
  <c r="K137" i="15"/>
  <c r="G138" i="15" l="1"/>
  <c r="H138" i="15" l="1"/>
  <c r="E239" i="12"/>
  <c r="G239" i="12" s="1"/>
  <c r="K138" i="15"/>
  <c r="G139" i="15" l="1"/>
  <c r="H139" i="15" l="1"/>
  <c r="E240" i="12"/>
  <c r="G240" i="12" s="1"/>
  <c r="K139" i="15"/>
  <c r="G140" i="15" l="1"/>
  <c r="H140" i="15" l="1"/>
  <c r="E241" i="12"/>
  <c r="G241" i="12" s="1"/>
  <c r="K140" i="15"/>
  <c r="G141" i="15" l="1"/>
  <c r="H141" i="15" l="1"/>
  <c r="E242" i="12"/>
  <c r="G242" i="12" s="1"/>
  <c r="K141" i="15"/>
  <c r="G142" i="15" l="1"/>
  <c r="H142" i="15" l="1"/>
  <c r="E243" i="12"/>
  <c r="G243" i="12" s="1"/>
  <c r="K142" i="15"/>
  <c r="G143" i="15" l="1"/>
  <c r="H143" i="15" l="1"/>
  <c r="E244" i="12"/>
  <c r="G244" i="12" s="1"/>
  <c r="K143" i="15"/>
  <c r="G144" i="15" l="1"/>
  <c r="H144" i="15" l="1"/>
  <c r="E245" i="12"/>
  <c r="G245" i="12" s="1"/>
  <c r="K144" i="15"/>
  <c r="K22" i="15" s="1"/>
  <c r="G22" i="15"/>
  <c r="F21" i="15" s="1"/>
  <c r="H126" i="12" l="1"/>
  <c r="AZ126" i="12" l="1"/>
  <c r="Q126" i="12"/>
  <c r="I126" i="12"/>
  <c r="J126" i="12" s="1"/>
  <c r="M126" i="12" l="1"/>
  <c r="R126" i="12" s="1"/>
  <c r="H127" i="12"/>
  <c r="S126" i="12" l="1"/>
  <c r="V126" i="12"/>
  <c r="T126" i="12"/>
  <c r="I127" i="12"/>
  <c r="J127" i="12" s="1"/>
  <c r="AZ127" i="12"/>
  <c r="Q127" i="12"/>
  <c r="H128" i="12"/>
  <c r="BI127" i="12" l="1"/>
  <c r="K127" i="12"/>
  <c r="L127" i="12"/>
  <c r="X126" i="12"/>
  <c r="Z126" i="12"/>
  <c r="W126" i="12"/>
  <c r="Q128" i="12"/>
  <c r="I128" i="12"/>
  <c r="J128" i="12" s="1"/>
  <c r="AZ128" i="12"/>
  <c r="M127" i="12" l="1"/>
  <c r="R127" i="12" s="1"/>
  <c r="Y126" i="12"/>
  <c r="U127" i="12" s="1"/>
  <c r="AA126" i="12"/>
  <c r="AB126" i="12" s="1"/>
  <c r="H129" i="12"/>
  <c r="V127" i="12" l="1"/>
  <c r="T127" i="12"/>
  <c r="S127" i="12"/>
  <c r="I129" i="12"/>
  <c r="J129" i="12" s="1"/>
  <c r="Q129" i="12"/>
  <c r="AZ129" i="12"/>
  <c r="X127" i="12" l="1"/>
  <c r="W127" i="12"/>
  <c r="Z127" i="12"/>
  <c r="L128" i="12"/>
  <c r="K128" i="12"/>
  <c r="BI128" i="12"/>
  <c r="H130" i="12"/>
  <c r="M128" i="12" l="1"/>
  <c r="R128" i="12" s="1"/>
  <c r="Y127" i="12"/>
  <c r="U128" i="12" s="1"/>
  <c r="AA127" i="12"/>
  <c r="AB127" i="12" s="1"/>
  <c r="Q130" i="12"/>
  <c r="I130" i="12"/>
  <c r="J130" i="12" s="1"/>
  <c r="AZ130" i="12"/>
  <c r="S128" i="12" l="1"/>
  <c r="T128" i="12"/>
  <c r="K129" i="12" s="1"/>
  <c r="V128" i="12"/>
  <c r="W128" i="12" s="1"/>
  <c r="H131" i="12"/>
  <c r="L129" i="12" l="1"/>
  <c r="M129" i="12" s="1"/>
  <c r="R129" i="12" s="1"/>
  <c r="BI129" i="12"/>
  <c r="Z128" i="12"/>
  <c r="X128" i="12"/>
  <c r="I131" i="12"/>
  <c r="J131" i="12" s="1"/>
  <c r="Q131" i="12"/>
  <c r="AZ131" i="12"/>
  <c r="T129" i="12" l="1"/>
  <c r="S129" i="12"/>
  <c r="Y128" i="12"/>
  <c r="U129" i="12" s="1"/>
  <c r="V129" i="12" s="1"/>
  <c r="AA128" i="12"/>
  <c r="AB128" i="12" s="1"/>
  <c r="H132" i="12"/>
  <c r="K130" i="12" l="1"/>
  <c r="BI130" i="12"/>
  <c r="L130" i="12"/>
  <c r="W129" i="12"/>
  <c r="Z129" i="12"/>
  <c r="X129" i="12"/>
  <c r="I132" i="12"/>
  <c r="J132" i="12" s="1"/>
  <c r="AZ132" i="12"/>
  <c r="Q132" i="12"/>
  <c r="M130" i="12" l="1"/>
  <c r="R130" i="12" s="1"/>
  <c r="AA129" i="12"/>
  <c r="AB129" i="12" s="1"/>
  <c r="Y129" i="12"/>
  <c r="U130" i="12" s="1"/>
  <c r="S130" i="12" l="1"/>
  <c r="T130" i="12"/>
  <c r="BI131" i="12" s="1"/>
  <c r="H133" i="12"/>
  <c r="V130" i="12"/>
  <c r="W130" i="12" s="1"/>
  <c r="K131" i="12" l="1"/>
  <c r="L131" i="12"/>
  <c r="AZ133" i="12"/>
  <c r="Q133" i="12"/>
  <c r="I133" i="12"/>
  <c r="X130" i="12"/>
  <c r="Z130" i="12"/>
  <c r="M131" i="12" l="1"/>
  <c r="R131" i="12" s="1"/>
  <c r="J133" i="12"/>
  <c r="Y130" i="12"/>
  <c r="AA130" i="12"/>
  <c r="AB130" i="12" s="1"/>
  <c r="S131" i="12" l="1"/>
  <c r="T131" i="12"/>
  <c r="U131" i="12"/>
  <c r="L132" i="12" l="1"/>
  <c r="K132" i="12"/>
  <c r="BI132" i="12"/>
  <c r="H134" i="12"/>
  <c r="V131" i="12"/>
  <c r="W131" i="12" s="1"/>
  <c r="M132" i="12" l="1"/>
  <c r="R132" i="12" s="1"/>
  <c r="Q134" i="12"/>
  <c r="AZ134" i="12"/>
  <c r="I134" i="12"/>
  <c r="X131" i="12"/>
  <c r="Z131" i="12"/>
  <c r="S132" i="12" l="1"/>
  <c r="T132" i="12"/>
  <c r="J134" i="12"/>
  <c r="Y131" i="12"/>
  <c r="AA131" i="12"/>
  <c r="AB131" i="12" s="1"/>
  <c r="K133" i="12" l="1"/>
  <c r="L133" i="12"/>
  <c r="BI133" i="12"/>
  <c r="H135" i="12"/>
  <c r="U132" i="12"/>
  <c r="M133" i="12" l="1"/>
  <c r="R133" i="12" s="1"/>
  <c r="AZ135" i="12"/>
  <c r="I135" i="12"/>
  <c r="J135" i="12" s="1"/>
  <c r="Q135" i="12"/>
  <c r="V132" i="12"/>
  <c r="W132" i="12" s="1"/>
  <c r="T133" i="12" l="1"/>
  <c r="S133" i="12"/>
  <c r="H136" i="12"/>
  <c r="AZ136" i="12" s="1"/>
  <c r="X132" i="12"/>
  <c r="Z132" i="12"/>
  <c r="BI134" i="12" l="1"/>
  <c r="K134" i="12"/>
  <c r="L134" i="12"/>
  <c r="Q136" i="12"/>
  <c r="I136" i="12"/>
  <c r="J136" i="12" s="1"/>
  <c r="Y132" i="12"/>
  <c r="AA132" i="12"/>
  <c r="AB132" i="12" s="1"/>
  <c r="M134" i="12" l="1"/>
  <c r="R134" i="12" s="1"/>
  <c r="H137" i="12"/>
  <c r="U133" i="12"/>
  <c r="T134" i="12" l="1"/>
  <c r="S134" i="12"/>
  <c r="I137" i="12"/>
  <c r="Q137" i="12"/>
  <c r="AZ137" i="12"/>
  <c r="V133" i="12"/>
  <c r="W133" i="12" s="1"/>
  <c r="BI135" i="12" l="1"/>
  <c r="L135" i="12"/>
  <c r="K135" i="12"/>
  <c r="H138" i="12"/>
  <c r="J137" i="12"/>
  <c r="X133" i="12"/>
  <c r="Z133" i="12"/>
  <c r="M135" i="12" l="1"/>
  <c r="R135" i="12" s="1"/>
  <c r="I138" i="12"/>
  <c r="J138" i="12" s="1"/>
  <c r="AZ138" i="12"/>
  <c r="Q138" i="12"/>
  <c r="Y133" i="12"/>
  <c r="U134" i="12" s="1"/>
  <c r="AA133" i="12"/>
  <c r="AB133" i="12" s="1"/>
  <c r="T135" i="12" l="1"/>
  <c r="S135" i="12"/>
  <c r="H139" i="12"/>
  <c r="Q139" i="12" s="1"/>
  <c r="V134" i="12"/>
  <c r="W134" i="12" s="1"/>
  <c r="L136" i="12" l="1"/>
  <c r="K136" i="12"/>
  <c r="BI136" i="12"/>
  <c r="AZ139" i="12"/>
  <c r="I139" i="12"/>
  <c r="J139" i="12" s="1"/>
  <c r="X134" i="12"/>
  <c r="Z134" i="12"/>
  <c r="M136" i="12" l="1"/>
  <c r="R136" i="12" s="1"/>
  <c r="H140" i="12"/>
  <c r="Y134" i="12"/>
  <c r="AA134" i="12"/>
  <c r="AB134" i="12" s="1"/>
  <c r="S136" i="12" l="1"/>
  <c r="T136" i="12"/>
  <c r="Q140" i="12"/>
  <c r="AZ140" i="12"/>
  <c r="I140" i="12"/>
  <c r="J140" i="12" s="1"/>
  <c r="U135" i="12"/>
  <c r="K137" i="12" l="1"/>
  <c r="L137" i="12"/>
  <c r="BI137" i="12"/>
  <c r="V135" i="12"/>
  <c r="W135" i="12" s="1"/>
  <c r="M137" i="12" l="1"/>
  <c r="R137" i="12" s="1"/>
  <c r="H141" i="12"/>
  <c r="X135" i="12"/>
  <c r="Z135" i="12"/>
  <c r="S137" i="12" l="1"/>
  <c r="T137" i="12"/>
  <c r="I141" i="12"/>
  <c r="J141" i="12" s="1"/>
  <c r="Q141" i="12"/>
  <c r="AZ141" i="12"/>
  <c r="Y135" i="12"/>
  <c r="U136" i="12" s="1"/>
  <c r="AA135" i="12"/>
  <c r="AB135" i="12" s="1"/>
  <c r="L138" i="12" l="1"/>
  <c r="BI138" i="12"/>
  <c r="K138" i="12"/>
  <c r="V136" i="12"/>
  <c r="W136" i="12" s="1"/>
  <c r="M138" i="12" l="1"/>
  <c r="R138" i="12" s="1"/>
  <c r="H142" i="12"/>
  <c r="X136" i="12"/>
  <c r="Z136" i="12"/>
  <c r="T138" i="12" l="1"/>
  <c r="S138" i="12"/>
  <c r="AZ142" i="12"/>
  <c r="I142" i="12"/>
  <c r="J142" i="12" s="1"/>
  <c r="Q142" i="12"/>
  <c r="Y136" i="12"/>
  <c r="AA136" i="12"/>
  <c r="AB136" i="12" s="1"/>
  <c r="K139" i="12" l="1"/>
  <c r="L139" i="12"/>
  <c r="BI139" i="12"/>
  <c r="U137" i="12"/>
  <c r="M139" i="12" l="1"/>
  <c r="R139" i="12" s="1"/>
  <c r="H143" i="12"/>
  <c r="V137" i="12"/>
  <c r="W137" i="12" s="1"/>
  <c r="T139" i="12" l="1"/>
  <c r="S139" i="12"/>
  <c r="Q143" i="12"/>
  <c r="AZ143" i="12"/>
  <c r="I143" i="12"/>
  <c r="X137" i="12"/>
  <c r="Z137" i="12"/>
  <c r="L140" i="12" l="1"/>
  <c r="BI140" i="12"/>
  <c r="K140" i="12"/>
  <c r="J143" i="12"/>
  <c r="Y137" i="12"/>
  <c r="AA137" i="12"/>
  <c r="AB137" i="12" s="1"/>
  <c r="M140" i="12" l="1"/>
  <c r="R140" i="12" s="1"/>
  <c r="H144" i="12"/>
  <c r="U138" i="12"/>
  <c r="T140" i="12" l="1"/>
  <c r="S140" i="12"/>
  <c r="AZ144" i="12"/>
  <c r="Q144" i="12"/>
  <c r="I144" i="12"/>
  <c r="J144" i="12" s="1"/>
  <c r="V138" i="12"/>
  <c r="W138" i="12" s="1"/>
  <c r="K141" i="12" l="1"/>
  <c r="L141" i="12"/>
  <c r="BI141" i="12"/>
  <c r="H145" i="12"/>
  <c r="I145" i="12" s="1"/>
  <c r="J145" i="12" s="1"/>
  <c r="X138" i="12"/>
  <c r="Z138" i="12"/>
  <c r="M141" i="12" l="1"/>
  <c r="R141" i="12" s="1"/>
  <c r="AZ145" i="12"/>
  <c r="Q145" i="12"/>
  <c r="Y138" i="12"/>
  <c r="U139" i="12" s="1"/>
  <c r="AA138" i="12"/>
  <c r="AB138" i="12" s="1"/>
  <c r="T141" i="12" l="1"/>
  <c r="S141" i="12"/>
  <c r="H146" i="12"/>
  <c r="V139" i="12"/>
  <c r="W139" i="12" s="1"/>
  <c r="K142" i="12" l="1"/>
  <c r="L142" i="12"/>
  <c r="BI142" i="12"/>
  <c r="I146" i="12"/>
  <c r="Q146" i="12"/>
  <c r="AZ146" i="12"/>
  <c r="X139" i="12"/>
  <c r="Z139" i="12"/>
  <c r="M142" i="12" l="1"/>
  <c r="R142" i="12" s="1"/>
  <c r="H147" i="12"/>
  <c r="J146" i="12"/>
  <c r="Y139" i="12"/>
  <c r="AA139" i="12"/>
  <c r="AB139" i="12" s="1"/>
  <c r="S142" i="12" l="1"/>
  <c r="T142" i="12"/>
  <c r="AZ147" i="12"/>
  <c r="Q147" i="12"/>
  <c r="I147" i="12"/>
  <c r="J147" i="12" s="1"/>
  <c r="U140" i="12"/>
  <c r="BI143" i="12" l="1"/>
  <c r="K143" i="12"/>
  <c r="L143" i="12"/>
  <c r="V140" i="12"/>
  <c r="W140" i="12" s="1"/>
  <c r="M143" i="12" l="1"/>
  <c r="R143" i="12" s="1"/>
  <c r="H148" i="12"/>
  <c r="X140" i="12"/>
  <c r="Z140" i="12"/>
  <c r="T143" i="12" l="1"/>
  <c r="BI144" i="12" s="1"/>
  <c r="S143" i="12"/>
  <c r="Q148" i="12"/>
  <c r="AZ148" i="12"/>
  <c r="I148" i="12"/>
  <c r="J148" i="12" s="1"/>
  <c r="Y140" i="12"/>
  <c r="U141" i="12" s="1"/>
  <c r="AA140" i="12"/>
  <c r="AB140" i="12" s="1"/>
  <c r="L144" i="12" l="1"/>
  <c r="K144" i="12"/>
  <c r="V141" i="12"/>
  <c r="W141" i="12" s="1"/>
  <c r="M144" i="12" l="1"/>
  <c r="R144" i="12" s="1"/>
  <c r="H149" i="12"/>
  <c r="X141" i="12"/>
  <c r="Z141" i="12"/>
  <c r="T144" i="12" l="1"/>
  <c r="S144" i="12"/>
  <c r="I149" i="12"/>
  <c r="AZ149" i="12"/>
  <c r="Q149" i="12"/>
  <c r="Y141" i="12"/>
  <c r="AA141" i="12"/>
  <c r="AB141" i="12" s="1"/>
  <c r="L145" i="12" l="1"/>
  <c r="K145" i="12"/>
  <c r="M145" i="12" s="1"/>
  <c r="R145" i="12" s="1"/>
  <c r="BI145" i="12"/>
  <c r="J149" i="12"/>
  <c r="U142" i="12"/>
  <c r="T145" i="12" l="1"/>
  <c r="S145" i="12"/>
  <c r="V142" i="12"/>
  <c r="W142" i="12" s="1"/>
  <c r="H150" i="12" l="1"/>
  <c r="K146" i="12"/>
  <c r="L146" i="12"/>
  <c r="BI146" i="12"/>
  <c r="X142" i="12"/>
  <c r="Z142" i="12"/>
  <c r="AZ150" i="12" l="1"/>
  <c r="I150" i="12"/>
  <c r="J150" i="12" s="1"/>
  <c r="Q150" i="12"/>
  <c r="M146" i="12"/>
  <c r="R146" i="12" s="1"/>
  <c r="Y142" i="12"/>
  <c r="AA142" i="12"/>
  <c r="AB142" i="12" s="1"/>
  <c r="H151" i="12" l="1"/>
  <c r="T146" i="12"/>
  <c r="S146" i="12"/>
  <c r="U143" i="12"/>
  <c r="Q151" i="12" l="1"/>
  <c r="AZ151" i="12"/>
  <c r="I151" i="12"/>
  <c r="J151" i="12" s="1"/>
  <c r="BI147" i="12"/>
  <c r="K147" i="12"/>
  <c r="L147" i="12"/>
  <c r="V143" i="12"/>
  <c r="W143" i="12" s="1"/>
  <c r="H152" i="12" l="1"/>
  <c r="M147" i="12"/>
  <c r="R147" i="12" s="1"/>
  <c r="X143" i="12"/>
  <c r="Z143" i="12"/>
  <c r="AZ152" i="12" l="1"/>
  <c r="Q152" i="12"/>
  <c r="I152" i="12"/>
  <c r="J152" i="12" s="1"/>
  <c r="T147" i="12"/>
  <c r="S147" i="12"/>
  <c r="Y143" i="12"/>
  <c r="AA143" i="12"/>
  <c r="AB143" i="12" s="1"/>
  <c r="H153" i="12" l="1"/>
  <c r="K148" i="12"/>
  <c r="L148" i="12"/>
  <c r="BI148" i="12"/>
  <c r="U144" i="12"/>
  <c r="I153" i="12" l="1"/>
  <c r="Q153" i="12"/>
  <c r="AZ153" i="12"/>
  <c r="M148" i="12"/>
  <c r="R148" i="12" s="1"/>
  <c r="V144" i="12"/>
  <c r="W144" i="12" s="1"/>
  <c r="J153" i="12" l="1"/>
  <c r="S148" i="12"/>
  <c r="T148" i="12"/>
  <c r="X144" i="12"/>
  <c r="Z144" i="12"/>
  <c r="H154" i="12" l="1"/>
  <c r="L149" i="12"/>
  <c r="K149" i="12"/>
  <c r="BI149" i="12"/>
  <c r="Y144" i="12"/>
  <c r="AA144" i="12"/>
  <c r="AB144" i="12" s="1"/>
  <c r="Q154" i="12" l="1"/>
  <c r="I154" i="12"/>
  <c r="J154" i="12" s="1"/>
  <c r="AZ154" i="12"/>
  <c r="M149" i="12"/>
  <c r="R149" i="12" s="1"/>
  <c r="U145" i="12"/>
  <c r="T149" i="12" l="1"/>
  <c r="S149" i="12"/>
  <c r="V145" i="12"/>
  <c r="W145" i="12" s="1"/>
  <c r="H155" i="12" l="1"/>
  <c r="L150" i="12"/>
  <c r="K150" i="12"/>
  <c r="BI150" i="12"/>
  <c r="X145" i="12"/>
  <c r="Z145" i="12"/>
  <c r="I155" i="12" l="1"/>
  <c r="J155" i="12" s="1"/>
  <c r="AZ155" i="12"/>
  <c r="Q155" i="12"/>
  <c r="M150" i="12"/>
  <c r="R150" i="12" s="1"/>
  <c r="Y145" i="12"/>
  <c r="AA145" i="12"/>
  <c r="AB145" i="12" s="1"/>
  <c r="S150" i="12" l="1"/>
  <c r="T150" i="12"/>
  <c r="K151" i="12" s="1"/>
  <c r="U146" i="12"/>
  <c r="H156" i="12" l="1"/>
  <c r="L151" i="12"/>
  <c r="M151" i="12" s="1"/>
  <c r="BI151" i="12"/>
  <c r="V146" i="12"/>
  <c r="W146" i="12" s="1"/>
  <c r="Q156" i="12" l="1"/>
  <c r="AZ156" i="12"/>
  <c r="I156" i="12"/>
  <c r="J156" i="12" s="1"/>
  <c r="X146" i="12"/>
  <c r="Z146" i="12"/>
  <c r="R151" i="12"/>
  <c r="T151" i="12" l="1"/>
  <c r="S151" i="12"/>
  <c r="Y146" i="12"/>
  <c r="AA146" i="12"/>
  <c r="AB146" i="12" s="1"/>
  <c r="H157" i="12" l="1"/>
  <c r="L152" i="12"/>
  <c r="BI152" i="12"/>
  <c r="K152" i="12"/>
  <c r="U147" i="12"/>
  <c r="AZ157" i="12" l="1"/>
  <c r="I157" i="12"/>
  <c r="J157" i="12" s="1"/>
  <c r="Q157" i="12"/>
  <c r="M152" i="12"/>
  <c r="V147" i="12"/>
  <c r="W147" i="12" s="1"/>
  <c r="X147" i="12" l="1"/>
  <c r="Z147" i="12"/>
  <c r="R152" i="12"/>
  <c r="H158" i="12" l="1"/>
  <c r="S152" i="12"/>
  <c r="T152" i="12"/>
  <c r="Y147" i="12"/>
  <c r="AA147" i="12"/>
  <c r="AB147" i="12" s="1"/>
  <c r="Q158" i="12" l="1"/>
  <c r="AZ158" i="12"/>
  <c r="I158" i="12"/>
  <c r="J158" i="12" s="1"/>
  <c r="K153" i="12"/>
  <c r="L153" i="12"/>
  <c r="BI153" i="12"/>
  <c r="U148" i="12"/>
  <c r="H159" i="12" l="1"/>
  <c r="Q159" i="12" s="1"/>
  <c r="M153" i="12"/>
  <c r="V148" i="12"/>
  <c r="W148" i="12" s="1"/>
  <c r="I159" i="12" l="1"/>
  <c r="J159" i="12" s="1"/>
  <c r="AZ159" i="12"/>
  <c r="X148" i="12"/>
  <c r="Z148" i="12"/>
  <c r="R153" i="12"/>
  <c r="H160" i="12" l="1"/>
  <c r="Y148" i="12"/>
  <c r="U149" i="12" s="1"/>
  <c r="AA148" i="12"/>
  <c r="AB148" i="12" s="1"/>
  <c r="T153" i="12"/>
  <c r="S153" i="12"/>
  <c r="AZ160" i="12" l="1"/>
  <c r="Q160" i="12"/>
  <c r="I160" i="12"/>
  <c r="V149" i="12"/>
  <c r="W149" i="12" s="1"/>
  <c r="K154" i="12"/>
  <c r="BI154" i="12"/>
  <c r="L154" i="12"/>
  <c r="J160" i="12" l="1"/>
  <c r="X149" i="12"/>
  <c r="Z149" i="12"/>
  <c r="M154" i="12"/>
  <c r="H161" i="12" l="1"/>
  <c r="Y149" i="12"/>
  <c r="AA149" i="12"/>
  <c r="AB149" i="12" s="1"/>
  <c r="R154" i="12"/>
  <c r="I161" i="12" l="1"/>
  <c r="J161" i="12" s="1"/>
  <c r="Q161" i="12"/>
  <c r="AZ161" i="12"/>
  <c r="U150" i="12"/>
  <c r="S154" i="12"/>
  <c r="T154" i="12"/>
  <c r="V150" i="12" l="1"/>
  <c r="W150" i="12" s="1"/>
  <c r="BI155" i="12"/>
  <c r="L155" i="12"/>
  <c r="K155" i="12"/>
  <c r="H162" i="12" l="1"/>
  <c r="X150" i="12"/>
  <c r="Z150" i="12"/>
  <c r="M155" i="12"/>
  <c r="I162" i="12" l="1"/>
  <c r="J162" i="12" s="1"/>
  <c r="AZ162" i="12"/>
  <c r="Q162" i="12"/>
  <c r="Y150" i="12"/>
  <c r="U151" i="12" s="1"/>
  <c r="AA150" i="12"/>
  <c r="AB150" i="12" s="1"/>
  <c r="R155" i="12"/>
  <c r="V151" i="12" l="1"/>
  <c r="W151" i="12" s="1"/>
  <c r="S155" i="12"/>
  <c r="T155" i="12"/>
  <c r="H163" i="12" l="1"/>
  <c r="X151" i="12"/>
  <c r="Z151" i="12"/>
  <c r="K156" i="12"/>
  <c r="BI156" i="12"/>
  <c r="L156" i="12"/>
  <c r="AZ163" i="12" l="1"/>
  <c r="Q163" i="12"/>
  <c r="I163" i="12"/>
  <c r="J163" i="12" s="1"/>
  <c r="Y151" i="12"/>
  <c r="U152" i="12" s="1"/>
  <c r="AA151" i="12"/>
  <c r="AB151" i="12" s="1"/>
  <c r="M156" i="12"/>
  <c r="R156" i="12" s="1"/>
  <c r="V152" i="12" l="1"/>
  <c r="W152" i="12" s="1"/>
  <c r="S156" i="12"/>
  <c r="T156" i="12"/>
  <c r="H164" i="12" l="1"/>
  <c r="X152" i="12"/>
  <c r="Z152" i="12"/>
  <c r="BI157" i="12"/>
  <c r="L157" i="12"/>
  <c r="K157" i="12"/>
  <c r="AZ164" i="12" l="1"/>
  <c r="I164" i="12"/>
  <c r="J164" i="12" s="1"/>
  <c r="Q164" i="12"/>
  <c r="Y152" i="12"/>
  <c r="U153" i="12" s="1"/>
  <c r="AA152" i="12"/>
  <c r="AB152" i="12" s="1"/>
  <c r="M157" i="12"/>
  <c r="R157" i="12" s="1"/>
  <c r="H165" i="12" l="1"/>
  <c r="V153" i="12"/>
  <c r="W153" i="12" s="1"/>
  <c r="T157" i="12"/>
  <c r="S157" i="12"/>
  <c r="Q165" i="12" l="1"/>
  <c r="AZ165" i="12"/>
  <c r="I165" i="12"/>
  <c r="J165" i="12" s="1"/>
  <c r="X153" i="12"/>
  <c r="Z153" i="12"/>
  <c r="K158" i="12"/>
  <c r="L158" i="12"/>
  <c r="BI158" i="12"/>
  <c r="H166" i="12" l="1"/>
  <c r="H167" i="12"/>
  <c r="M158" i="12"/>
  <c r="Y153" i="12"/>
  <c r="AA153" i="12"/>
  <c r="AB153" i="12" s="1"/>
  <c r="I166" i="12" l="1"/>
  <c r="J166" i="12" s="1"/>
  <c r="Q166" i="12"/>
  <c r="AZ166" i="12"/>
  <c r="I167" i="12"/>
  <c r="AZ167" i="12"/>
  <c r="Q167" i="12"/>
  <c r="U154" i="12"/>
  <c r="R158" i="12"/>
  <c r="J167" i="12" l="1"/>
  <c r="V154" i="12"/>
  <c r="W154" i="12" s="1"/>
  <c r="S158" i="12"/>
  <c r="T158" i="12"/>
  <c r="H168" i="12" l="1"/>
  <c r="X154" i="12"/>
  <c r="Z154" i="12"/>
  <c r="L159" i="12"/>
  <c r="K159" i="12"/>
  <c r="BI159" i="12"/>
  <c r="AZ168" i="12" l="1"/>
  <c r="Q168" i="12"/>
  <c r="I168" i="12"/>
  <c r="J168" i="12" s="1"/>
  <c r="H169" i="12"/>
  <c r="I169" i="12" s="1"/>
  <c r="M159" i="12"/>
  <c r="Y154" i="12"/>
  <c r="AA154" i="12"/>
  <c r="AB154" i="12" s="1"/>
  <c r="AZ169" i="12" l="1"/>
  <c r="Q169" i="12"/>
  <c r="J169" i="12"/>
  <c r="U155" i="12"/>
  <c r="R159" i="12"/>
  <c r="H170" i="12" l="1"/>
  <c r="V155" i="12"/>
  <c r="W155" i="12" s="1"/>
  <c r="T159" i="12"/>
  <c r="S159" i="12"/>
  <c r="I170" i="12" l="1"/>
  <c r="J170" i="12" s="1"/>
  <c r="Q170" i="12"/>
  <c r="AZ170" i="12"/>
  <c r="X155" i="12"/>
  <c r="Z155" i="12"/>
  <c r="K160" i="12"/>
  <c r="BI160" i="12"/>
  <c r="L160" i="12"/>
  <c r="H171" i="12" l="1"/>
  <c r="M160" i="12"/>
  <c r="Y155" i="12"/>
  <c r="AA155" i="12"/>
  <c r="AB155" i="12" s="1"/>
  <c r="AZ171" i="12" l="1"/>
  <c r="Q171" i="12"/>
  <c r="I171" i="12"/>
  <c r="J171" i="12" s="1"/>
  <c r="H172" i="12"/>
  <c r="U156" i="12"/>
  <c r="R160" i="12"/>
  <c r="I172" i="12" l="1"/>
  <c r="J172" i="12" s="1"/>
  <c r="Q172" i="12"/>
  <c r="AZ172" i="12"/>
  <c r="V156" i="12"/>
  <c r="W156" i="12" s="1"/>
  <c r="T160" i="12"/>
  <c r="S160" i="12"/>
  <c r="X156" i="12" l="1"/>
  <c r="Z156" i="12"/>
  <c r="BI161" i="12"/>
  <c r="L161" i="12"/>
  <c r="K161" i="12"/>
  <c r="H173" i="12" l="1"/>
  <c r="M161" i="12"/>
  <c r="R161" i="12" s="1"/>
  <c r="Y156" i="12"/>
  <c r="AA156" i="12"/>
  <c r="AB156" i="12" s="1"/>
  <c r="H174" i="12" l="1"/>
  <c r="I173" i="12"/>
  <c r="J173" i="12" s="1"/>
  <c r="Q173" i="12"/>
  <c r="AZ173" i="12"/>
  <c r="S161" i="12"/>
  <c r="T161" i="12"/>
  <c r="U157" i="12"/>
  <c r="Q174" i="12" l="1"/>
  <c r="I174" i="12"/>
  <c r="J174" i="12" s="1"/>
  <c r="AZ174" i="12"/>
  <c r="L162" i="12"/>
  <c r="BI162" i="12"/>
  <c r="K162" i="12"/>
  <c r="V157" i="12"/>
  <c r="W157" i="12" s="1"/>
  <c r="H175" i="12" l="1"/>
  <c r="M162" i="12"/>
  <c r="X157" i="12"/>
  <c r="Z157" i="12"/>
  <c r="H176" i="12" l="1"/>
  <c r="AZ175" i="12"/>
  <c r="Q175" i="12"/>
  <c r="I175" i="12"/>
  <c r="J175" i="12" s="1"/>
  <c r="Y157" i="12"/>
  <c r="U158" i="12" s="1"/>
  <c r="AA157" i="12"/>
  <c r="AB157" i="12" s="1"/>
  <c r="R162" i="12"/>
  <c r="I176" i="12" l="1"/>
  <c r="J176" i="12" s="1"/>
  <c r="AZ176" i="12"/>
  <c r="Q176" i="12"/>
  <c r="V158" i="12"/>
  <c r="W158" i="12" s="1"/>
  <c r="S162" i="12"/>
  <c r="T162" i="12"/>
  <c r="X158" i="12" l="1"/>
  <c r="Z158" i="12"/>
  <c r="BI163" i="12"/>
  <c r="L163" i="12"/>
  <c r="K163" i="12"/>
  <c r="H177" i="12" l="1"/>
  <c r="M163" i="12"/>
  <c r="R163" i="12" s="1"/>
  <c r="Y158" i="12"/>
  <c r="AA158" i="12"/>
  <c r="AB158" i="12" s="1"/>
  <c r="Q177" i="12" l="1"/>
  <c r="I177" i="12"/>
  <c r="J177" i="12" s="1"/>
  <c r="AZ177" i="12"/>
  <c r="H178" i="12"/>
  <c r="S163" i="12"/>
  <c r="T163" i="12"/>
  <c r="U159" i="12"/>
  <c r="I178" i="12" l="1"/>
  <c r="J178" i="12" s="1"/>
  <c r="Q178" i="12"/>
  <c r="AZ178" i="12"/>
  <c r="K164" i="12"/>
  <c r="L164" i="12"/>
  <c r="BI164" i="12"/>
  <c r="V159" i="12"/>
  <c r="W159" i="12" s="1"/>
  <c r="M164" i="12" l="1"/>
  <c r="X159" i="12"/>
  <c r="Z159" i="12"/>
  <c r="H179" i="12" l="1"/>
  <c r="R164" i="12"/>
  <c r="Y159" i="12"/>
  <c r="AA159" i="12"/>
  <c r="AB159" i="12" s="1"/>
  <c r="Q179" i="12" l="1"/>
  <c r="AZ179" i="12"/>
  <c r="I179" i="12"/>
  <c r="J179" i="12" s="1"/>
  <c r="T164" i="12"/>
  <c r="S164" i="12"/>
  <c r="U160" i="12"/>
  <c r="L165" i="12" l="1"/>
  <c r="K165" i="12"/>
  <c r="BI165" i="12"/>
  <c r="V160" i="12"/>
  <c r="W160" i="12" s="1"/>
  <c r="H180" i="12" l="1"/>
  <c r="M165" i="12"/>
  <c r="X160" i="12"/>
  <c r="Z160" i="12"/>
  <c r="Q180" i="12" l="1"/>
  <c r="I180" i="12"/>
  <c r="J180" i="12" s="1"/>
  <c r="AZ180" i="12"/>
  <c r="R165" i="12"/>
  <c r="Y160" i="12"/>
  <c r="AA160" i="12"/>
  <c r="AB160" i="12" s="1"/>
  <c r="H181" i="12" l="1"/>
  <c r="T165" i="12"/>
  <c r="S165" i="12"/>
  <c r="U161" i="12"/>
  <c r="Q181" i="12" l="1"/>
  <c r="I181" i="12"/>
  <c r="J181" i="12" s="1"/>
  <c r="AZ181" i="12"/>
  <c r="H182" i="12"/>
  <c r="BI166" i="12"/>
  <c r="K166" i="12"/>
  <c r="L166" i="12"/>
  <c r="V161" i="12"/>
  <c r="W161" i="12" s="1"/>
  <c r="H183" i="12" l="1"/>
  <c r="Q182" i="12"/>
  <c r="I182" i="12"/>
  <c r="AZ182" i="12"/>
  <c r="M166" i="12"/>
  <c r="X161" i="12"/>
  <c r="Z161" i="12"/>
  <c r="Q183" i="12" l="1"/>
  <c r="I183" i="12"/>
  <c r="AZ183" i="12"/>
  <c r="J182" i="12"/>
  <c r="Y161" i="12"/>
  <c r="U162" i="12" s="1"/>
  <c r="AA161" i="12"/>
  <c r="AB161" i="12" s="1"/>
  <c r="R166" i="12"/>
  <c r="J183" i="12" l="1"/>
  <c r="H184" i="12"/>
  <c r="V162" i="12"/>
  <c r="W162" i="12" s="1"/>
  <c r="T166" i="12"/>
  <c r="S166" i="12"/>
  <c r="Q184" i="12" l="1"/>
  <c r="I184" i="12"/>
  <c r="AZ184" i="12"/>
  <c r="X162" i="12"/>
  <c r="Z162" i="12"/>
  <c r="BI167" i="12"/>
  <c r="K167" i="12"/>
  <c r="L167" i="12"/>
  <c r="H185" i="12" l="1"/>
  <c r="AZ185" i="12" s="1"/>
  <c r="J184" i="12"/>
  <c r="M167" i="12"/>
  <c r="R167" i="12" s="1"/>
  <c r="Y162" i="12"/>
  <c r="AA162" i="12"/>
  <c r="AB162" i="12" s="1"/>
  <c r="Q185" i="12" l="1"/>
  <c r="I185" i="12"/>
  <c r="J185" i="12" s="1"/>
  <c r="S167" i="12"/>
  <c r="T167" i="12"/>
  <c r="U163" i="12"/>
  <c r="BI168" i="12" l="1"/>
  <c r="L168" i="12"/>
  <c r="K168" i="12"/>
  <c r="V163" i="12"/>
  <c r="W163" i="12" s="1"/>
  <c r="M168" i="12" l="1"/>
  <c r="R168" i="12" s="1"/>
  <c r="X163" i="12"/>
  <c r="Z163" i="12"/>
  <c r="H186" i="12" l="1"/>
  <c r="T168" i="12"/>
  <c r="S168" i="12"/>
  <c r="Y163" i="12"/>
  <c r="AA163" i="12"/>
  <c r="AB163" i="12" s="1"/>
  <c r="H187" i="12" l="1"/>
  <c r="Q186" i="12"/>
  <c r="AZ186" i="12"/>
  <c r="I186" i="12"/>
  <c r="BI169" i="12"/>
  <c r="L169" i="12"/>
  <c r="K169" i="12"/>
  <c r="U164" i="12"/>
  <c r="Q187" i="12" l="1"/>
  <c r="AZ187" i="12"/>
  <c r="I187" i="12"/>
  <c r="J186" i="12"/>
  <c r="H188" i="12"/>
  <c r="M169" i="12"/>
  <c r="V164" i="12"/>
  <c r="W164" i="12" s="1"/>
  <c r="J187" i="12" l="1"/>
  <c r="I188" i="12"/>
  <c r="Q188" i="12"/>
  <c r="AZ188" i="12"/>
  <c r="X164" i="12"/>
  <c r="Z164" i="12"/>
  <c r="R169" i="12"/>
  <c r="J188" i="12" l="1"/>
  <c r="H189" i="12"/>
  <c r="T169" i="12"/>
  <c r="S169" i="12"/>
  <c r="Y164" i="12"/>
  <c r="AA164" i="12"/>
  <c r="AB164" i="12" s="1"/>
  <c r="Q189" i="12" l="1"/>
  <c r="I189" i="12"/>
  <c r="AZ189" i="12"/>
  <c r="H190" i="12"/>
  <c r="BI170" i="12"/>
  <c r="L170" i="12"/>
  <c r="K170" i="12"/>
  <c r="U165" i="12"/>
  <c r="J189" i="12" l="1"/>
  <c r="AZ190" i="12"/>
  <c r="Q190" i="12"/>
  <c r="I190" i="12"/>
  <c r="M170" i="12"/>
  <c r="R170" i="12" s="1"/>
  <c r="V165" i="12"/>
  <c r="W165" i="12" s="1"/>
  <c r="H191" i="12" l="1"/>
  <c r="J190" i="12"/>
  <c r="S170" i="12"/>
  <c r="T170" i="12"/>
  <c r="X165" i="12"/>
  <c r="Z165" i="12"/>
  <c r="H192" i="12" l="1"/>
  <c r="AZ191" i="12"/>
  <c r="Q191" i="12"/>
  <c r="I191" i="12"/>
  <c r="J191" i="12" s="1"/>
  <c r="K171" i="12"/>
  <c r="BI171" i="12"/>
  <c r="L171" i="12"/>
  <c r="Y165" i="12"/>
  <c r="AA165" i="12"/>
  <c r="AB165" i="12" s="1"/>
  <c r="Q192" i="12" l="1"/>
  <c r="AZ192" i="12"/>
  <c r="I192" i="12"/>
  <c r="J192" i="12" s="1"/>
  <c r="M171" i="12"/>
  <c r="U166" i="12"/>
  <c r="V166" i="12" l="1"/>
  <c r="W166" i="12" s="1"/>
  <c r="R171" i="12"/>
  <c r="H193" i="12" l="1"/>
  <c r="X166" i="12"/>
  <c r="Z166" i="12"/>
  <c r="S171" i="12"/>
  <c r="T171" i="12"/>
  <c r="Q193" i="12" l="1"/>
  <c r="AZ193" i="12"/>
  <c r="I193" i="12"/>
  <c r="J193" i="12" s="1"/>
  <c r="H194" i="12"/>
  <c r="BI172" i="12"/>
  <c r="L172" i="12"/>
  <c r="K172" i="12"/>
  <c r="Y166" i="12"/>
  <c r="AA166" i="12"/>
  <c r="AB166" i="12" s="1"/>
  <c r="Q194" i="12" l="1"/>
  <c r="I194" i="12"/>
  <c r="J194" i="12" s="1"/>
  <c r="AZ194" i="12"/>
  <c r="M172" i="12"/>
  <c r="U167" i="12"/>
  <c r="H195" i="12" l="1"/>
  <c r="V167" i="12"/>
  <c r="W167" i="12" s="1"/>
  <c r="R172" i="12"/>
  <c r="Q195" i="12" l="1"/>
  <c r="AZ195" i="12"/>
  <c r="I195" i="12"/>
  <c r="J195" i="12" s="1"/>
  <c r="X167" i="12"/>
  <c r="Z167" i="12"/>
  <c r="S172" i="12"/>
  <c r="T172" i="12"/>
  <c r="H196" i="12" l="1"/>
  <c r="BI173" i="12"/>
  <c r="L173" i="12"/>
  <c r="K173" i="12"/>
  <c r="Y167" i="12"/>
  <c r="AA167" i="12"/>
  <c r="AB167" i="12" s="1"/>
  <c r="Q196" i="12" l="1"/>
  <c r="I196" i="12"/>
  <c r="J196" i="12" s="1"/>
  <c r="AZ196" i="12"/>
  <c r="M173" i="12"/>
  <c r="U168" i="12"/>
  <c r="V168" i="12" l="1"/>
  <c r="W168" i="12" s="1"/>
  <c r="R173" i="12"/>
  <c r="H197" i="12" l="1"/>
  <c r="X168" i="12"/>
  <c r="Z168" i="12"/>
  <c r="T173" i="12"/>
  <c r="S173" i="12"/>
  <c r="Q197" i="12" l="1"/>
  <c r="AZ197" i="12"/>
  <c r="I197" i="12"/>
  <c r="J197" i="12" s="1"/>
  <c r="BI174" i="12"/>
  <c r="L174" i="12"/>
  <c r="K174" i="12"/>
  <c r="Y168" i="12"/>
  <c r="AA168" i="12"/>
  <c r="AB168" i="12" s="1"/>
  <c r="M174" i="12" l="1"/>
  <c r="U169" i="12"/>
  <c r="H198" i="12" l="1"/>
  <c r="V169" i="12"/>
  <c r="W169" i="12" s="1"/>
  <c r="R174" i="12"/>
  <c r="I198" i="12" l="1"/>
  <c r="J198" i="12" s="1"/>
  <c r="Q198" i="12"/>
  <c r="AZ198" i="12"/>
  <c r="H199" i="12"/>
  <c r="X169" i="12"/>
  <c r="Z169" i="12"/>
  <c r="T174" i="12"/>
  <c r="S174" i="12"/>
  <c r="I199" i="12" l="1"/>
  <c r="J199" i="12" s="1"/>
  <c r="AZ199" i="12"/>
  <c r="Q199" i="12"/>
  <c r="Y169" i="12"/>
  <c r="U170" i="12" s="1"/>
  <c r="AA169" i="12"/>
  <c r="AB169" i="12" s="1"/>
  <c r="BI175" i="12"/>
  <c r="K175" i="12"/>
  <c r="L175" i="12"/>
  <c r="H200" i="12" l="1"/>
  <c r="V170" i="12"/>
  <c r="W170" i="12" s="1"/>
  <c r="M175" i="12"/>
  <c r="I200" i="12" l="1"/>
  <c r="J200" i="12" s="1"/>
  <c r="AZ200" i="12"/>
  <c r="Q200" i="12"/>
  <c r="X170" i="12"/>
  <c r="Z170" i="12"/>
  <c r="R175" i="12"/>
  <c r="Y170" i="12" l="1"/>
  <c r="U171" i="12" s="1"/>
  <c r="AA170" i="12"/>
  <c r="AB170" i="12" s="1"/>
  <c r="T175" i="12"/>
  <c r="S175" i="12"/>
  <c r="H201" i="12" l="1"/>
  <c r="V171" i="12"/>
  <c r="W171" i="12" s="1"/>
  <c r="K176" i="12"/>
  <c r="BI176" i="12"/>
  <c r="L176" i="12"/>
  <c r="AZ201" i="12" l="1"/>
  <c r="I201" i="12"/>
  <c r="J201" i="12" s="1"/>
  <c r="Q201" i="12"/>
  <c r="X171" i="12"/>
  <c r="Z171" i="12"/>
  <c r="M176" i="12"/>
  <c r="H202" i="12" l="1"/>
  <c r="Y171" i="12"/>
  <c r="AA171" i="12"/>
  <c r="AB171" i="12" s="1"/>
  <c r="R176" i="12"/>
  <c r="I202" i="12" l="1"/>
  <c r="J202" i="12" s="1"/>
  <c r="AZ202" i="12"/>
  <c r="Q202" i="12"/>
  <c r="U172" i="12"/>
  <c r="T176" i="12"/>
  <c r="S176" i="12"/>
  <c r="V172" i="12" l="1"/>
  <c r="W172" i="12" s="1"/>
  <c r="K177" i="12"/>
  <c r="BI177" i="12"/>
  <c r="L177" i="12"/>
  <c r="H203" i="12" l="1"/>
  <c r="H204" i="12"/>
  <c r="X172" i="12"/>
  <c r="Z172" i="12"/>
  <c r="M177" i="12"/>
  <c r="I203" i="12" l="1"/>
  <c r="J203" i="12" s="1"/>
  <c r="Q203" i="12"/>
  <c r="AZ203" i="12"/>
  <c r="I204" i="12"/>
  <c r="Q204" i="12"/>
  <c r="AZ204" i="12"/>
  <c r="H205" i="12"/>
  <c r="Y172" i="12"/>
  <c r="AA172" i="12"/>
  <c r="AB172" i="12" s="1"/>
  <c r="R177" i="12"/>
  <c r="J204" i="12" l="1"/>
  <c r="I205" i="12"/>
  <c r="Q205" i="12"/>
  <c r="AZ205" i="12"/>
  <c r="U173" i="12"/>
  <c r="T177" i="12"/>
  <c r="S177" i="12"/>
  <c r="J205" i="12" l="1"/>
  <c r="V173" i="12"/>
  <c r="W173" i="12" s="1"/>
  <c r="BI178" i="12"/>
  <c r="L178" i="12"/>
  <c r="K178" i="12"/>
  <c r="H206" i="12" l="1"/>
  <c r="X173" i="12"/>
  <c r="Z173" i="12"/>
  <c r="M178" i="12"/>
  <c r="R178" i="12" s="1"/>
  <c r="I206" i="12" l="1"/>
  <c r="J206" i="12" s="1"/>
  <c r="AZ206" i="12"/>
  <c r="Q206" i="12"/>
  <c r="H207" i="12"/>
  <c r="Y173" i="12"/>
  <c r="U174" i="12" s="1"/>
  <c r="AA173" i="12"/>
  <c r="AB173" i="12" s="1"/>
  <c r="S178" i="12"/>
  <c r="T178" i="12"/>
  <c r="AZ207" i="12" l="1"/>
  <c r="Q207" i="12"/>
  <c r="I207" i="12"/>
  <c r="V174" i="12"/>
  <c r="W174" i="12" s="1"/>
  <c r="BI179" i="12"/>
  <c r="K179" i="12"/>
  <c r="L179" i="12"/>
  <c r="J207" i="12" l="1"/>
  <c r="X174" i="12"/>
  <c r="Z174" i="12"/>
  <c r="M179" i="12"/>
  <c r="H208" i="12" l="1"/>
  <c r="Y174" i="12"/>
  <c r="AA174" i="12"/>
  <c r="AB174" i="12" s="1"/>
  <c r="R179" i="12"/>
  <c r="AZ208" i="12" l="1"/>
  <c r="Q208" i="12"/>
  <c r="I208" i="12"/>
  <c r="J208" i="12" s="1"/>
  <c r="H209" i="12"/>
  <c r="U175" i="12"/>
  <c r="T179" i="12"/>
  <c r="S179" i="12"/>
  <c r="AZ209" i="12" l="1"/>
  <c r="I209" i="12"/>
  <c r="Q209" i="12"/>
  <c r="V175" i="12"/>
  <c r="W175" i="12" s="1"/>
  <c r="K180" i="12"/>
  <c r="L180" i="12"/>
  <c r="BI180" i="12"/>
  <c r="J209" i="12" l="1"/>
  <c r="X175" i="12"/>
  <c r="Z175" i="12"/>
  <c r="M180" i="12"/>
  <c r="Y175" i="12" l="1"/>
  <c r="AA175" i="12"/>
  <c r="AB175" i="12" s="1"/>
  <c r="R180" i="12"/>
  <c r="H210" i="12" l="1"/>
  <c r="U176" i="12"/>
  <c r="T180" i="12"/>
  <c r="S180" i="12"/>
  <c r="AZ210" i="12" l="1"/>
  <c r="Q210" i="12"/>
  <c r="I210" i="12"/>
  <c r="V176" i="12"/>
  <c r="W176" i="12" s="1"/>
  <c r="L181" i="12"/>
  <c r="K181" i="12"/>
  <c r="BI181" i="12"/>
  <c r="J210" i="12" l="1"/>
  <c r="H211" i="12"/>
  <c r="X176" i="12"/>
  <c r="Z176" i="12"/>
  <c r="M181" i="12"/>
  <c r="AZ211" i="12" l="1"/>
  <c r="Q211" i="12"/>
  <c r="I211" i="12"/>
  <c r="Y176" i="12"/>
  <c r="AA176" i="12"/>
  <c r="AB176" i="12" s="1"/>
  <c r="R181" i="12"/>
  <c r="J211" i="12" l="1"/>
  <c r="H212" i="12"/>
  <c r="U177" i="12"/>
  <c r="S181" i="12"/>
  <c r="T181" i="12"/>
  <c r="I212" i="12" l="1"/>
  <c r="AZ212" i="12"/>
  <c r="Q212" i="12"/>
  <c r="H213" i="12"/>
  <c r="V177" i="12"/>
  <c r="W177" i="12" s="1"/>
  <c r="BI182" i="12"/>
  <c r="K182" i="12"/>
  <c r="L182" i="12"/>
  <c r="J212" i="12" l="1"/>
  <c r="I213" i="12"/>
  <c r="Q213" i="12"/>
  <c r="AZ213" i="12"/>
  <c r="X177" i="12"/>
  <c r="Z177" i="12"/>
  <c r="M182" i="12"/>
  <c r="J213" i="12" l="1"/>
  <c r="Y177" i="12"/>
  <c r="U178" i="12" s="1"/>
  <c r="AA177" i="12"/>
  <c r="AB177" i="12" s="1"/>
  <c r="R182" i="12"/>
  <c r="H214" i="12" l="1"/>
  <c r="V178" i="12"/>
  <c r="W178" i="12" s="1"/>
  <c r="T182" i="12"/>
  <c r="S182" i="12"/>
  <c r="I214" i="12" l="1"/>
  <c r="J214" i="12" s="1"/>
  <c r="Q214" i="12"/>
  <c r="AZ214" i="12"/>
  <c r="X178" i="12"/>
  <c r="Z178" i="12"/>
  <c r="K183" i="12"/>
  <c r="BI183" i="12"/>
  <c r="L183" i="12"/>
  <c r="H216" i="12" l="1"/>
  <c r="M183" i="12"/>
  <c r="Y178" i="12"/>
  <c r="AA178" i="12"/>
  <c r="AB178" i="12" s="1"/>
  <c r="H215" i="12" l="1"/>
  <c r="I216" i="12"/>
  <c r="Q216" i="12"/>
  <c r="AZ216" i="12"/>
  <c r="H217" i="12"/>
  <c r="U179" i="12"/>
  <c r="R183" i="12"/>
  <c r="I215" i="12" l="1"/>
  <c r="Q215" i="12"/>
  <c r="AZ215" i="12"/>
  <c r="I217" i="12"/>
  <c r="Q217" i="12"/>
  <c r="AZ217" i="12"/>
  <c r="V179" i="12"/>
  <c r="W179" i="12" s="1"/>
  <c r="T183" i="12"/>
  <c r="S183" i="12"/>
  <c r="J215" i="12" l="1"/>
  <c r="H218" i="12"/>
  <c r="X179" i="12"/>
  <c r="Z179" i="12"/>
  <c r="K184" i="12"/>
  <c r="L184" i="12"/>
  <c r="BI184" i="12"/>
  <c r="J216" i="12" l="1"/>
  <c r="J217" i="12" s="1"/>
  <c r="Q218" i="12"/>
  <c r="AZ218" i="12"/>
  <c r="I218" i="12"/>
  <c r="H219" i="12"/>
  <c r="M184" i="12"/>
  <c r="Y179" i="12"/>
  <c r="AA179" i="12"/>
  <c r="AB179" i="12" s="1"/>
  <c r="J218" i="12" l="1"/>
  <c r="I219" i="12"/>
  <c r="AZ219" i="12"/>
  <c r="Q219" i="12"/>
  <c r="U180" i="12"/>
  <c r="R184" i="12"/>
  <c r="H220" i="12" l="1"/>
  <c r="J219" i="12"/>
  <c r="V180" i="12"/>
  <c r="W180" i="12" s="1"/>
  <c r="T184" i="12"/>
  <c r="S184" i="12"/>
  <c r="I220" i="12" l="1"/>
  <c r="J220" i="12" s="1"/>
  <c r="Q220" i="12"/>
  <c r="AZ220" i="12"/>
  <c r="H221" i="12"/>
  <c r="AZ221" i="12" s="1"/>
  <c r="X180" i="12"/>
  <c r="Z180" i="12"/>
  <c r="BI185" i="12"/>
  <c r="K185" i="12"/>
  <c r="L185" i="12"/>
  <c r="Q221" i="12" l="1"/>
  <c r="I221" i="12"/>
  <c r="J221" i="12" s="1"/>
  <c r="M185" i="12"/>
  <c r="Y180" i="12"/>
  <c r="AA180" i="12"/>
  <c r="AB180" i="12" s="1"/>
  <c r="U181" i="12" l="1"/>
  <c r="R185" i="12"/>
  <c r="H222" i="12" l="1"/>
  <c r="V181" i="12"/>
  <c r="W181" i="12" s="1"/>
  <c r="T185" i="12"/>
  <c r="S185" i="12"/>
  <c r="H223" i="12" l="1"/>
  <c r="I222" i="12"/>
  <c r="AZ222" i="12"/>
  <c r="Q222" i="12"/>
  <c r="X181" i="12"/>
  <c r="Z181" i="12"/>
  <c r="BI186" i="12"/>
  <c r="K186" i="12"/>
  <c r="L186" i="12"/>
  <c r="Q223" i="12" l="1"/>
  <c r="AZ223" i="12"/>
  <c r="I223" i="12"/>
  <c r="J222" i="12"/>
  <c r="M186" i="12"/>
  <c r="Y181" i="12"/>
  <c r="AA181" i="12"/>
  <c r="AB181" i="12" s="1"/>
  <c r="J223" i="12" l="1"/>
  <c r="H224" i="12"/>
  <c r="U182" i="12"/>
  <c r="R186" i="12"/>
  <c r="I224" i="12" l="1"/>
  <c r="AZ224" i="12"/>
  <c r="Q224" i="12"/>
  <c r="V182" i="12"/>
  <c r="W182" i="12" s="1"/>
  <c r="S186" i="12"/>
  <c r="T186" i="12"/>
  <c r="J224" i="12" l="1"/>
  <c r="X182" i="12"/>
  <c r="Z182" i="12"/>
  <c r="BI187" i="12"/>
  <c r="L187" i="12"/>
  <c r="K187" i="12"/>
  <c r="H225" i="12" l="1"/>
  <c r="M187" i="12"/>
  <c r="Y182" i="12"/>
  <c r="AA182" i="12"/>
  <c r="AB182" i="12" s="1"/>
  <c r="AZ225" i="12" l="1"/>
  <c r="Q225" i="12"/>
  <c r="I225" i="12"/>
  <c r="J225" i="12" s="1"/>
  <c r="H226" i="12"/>
  <c r="U183" i="12"/>
  <c r="R187" i="12"/>
  <c r="I226" i="12" l="1"/>
  <c r="Q226" i="12"/>
  <c r="AZ226" i="12"/>
  <c r="H227" i="12"/>
  <c r="V183" i="12"/>
  <c r="W183" i="12" s="1"/>
  <c r="T187" i="12"/>
  <c r="S187" i="12"/>
  <c r="J226" i="12" l="1"/>
  <c r="AZ227" i="12"/>
  <c r="Q227" i="12"/>
  <c r="I227" i="12"/>
  <c r="X183" i="12"/>
  <c r="Z183" i="12"/>
  <c r="BI188" i="12"/>
  <c r="L188" i="12"/>
  <c r="K188" i="12"/>
  <c r="H228" i="12" l="1"/>
  <c r="J227" i="12"/>
  <c r="Y183" i="12"/>
  <c r="U184" i="12" s="1"/>
  <c r="AA183" i="12"/>
  <c r="AB183" i="12" s="1"/>
  <c r="M188" i="12"/>
  <c r="Q228" i="12" l="1"/>
  <c r="AZ228" i="12"/>
  <c r="I228" i="12"/>
  <c r="H229" i="12"/>
  <c r="V184" i="12"/>
  <c r="W184" i="12" s="1"/>
  <c r="R188" i="12"/>
  <c r="J228" i="12" l="1"/>
  <c r="AZ229" i="12"/>
  <c r="Q229" i="12"/>
  <c r="I229" i="12"/>
  <c r="X184" i="12"/>
  <c r="Z184" i="12"/>
  <c r="S188" i="12"/>
  <c r="T188" i="12"/>
  <c r="H230" i="12" l="1"/>
  <c r="J229" i="12"/>
  <c r="Y184" i="12"/>
  <c r="U185" i="12" s="1"/>
  <c r="AA184" i="12"/>
  <c r="AB184" i="12" s="1"/>
  <c r="K189" i="12"/>
  <c r="BI189" i="12"/>
  <c r="L189" i="12"/>
  <c r="H231" i="12" l="1"/>
  <c r="Q230" i="12"/>
  <c r="I230" i="12"/>
  <c r="AZ230" i="12"/>
  <c r="V185" i="12"/>
  <c r="W185" i="12" s="1"/>
  <c r="M189" i="12"/>
  <c r="I231" i="12" l="1"/>
  <c r="Q231" i="12"/>
  <c r="AZ231" i="12"/>
  <c r="J230" i="12"/>
  <c r="X185" i="12"/>
  <c r="Z185" i="12"/>
  <c r="R189" i="12"/>
  <c r="J231" i="12" l="1"/>
  <c r="H232" i="12"/>
  <c r="Y185" i="12"/>
  <c r="U186" i="12" s="1"/>
  <c r="AA185" i="12"/>
  <c r="AB185" i="12" s="1"/>
  <c r="T189" i="12"/>
  <c r="S189" i="12"/>
  <c r="I232" i="12" l="1"/>
  <c r="J232" i="12" s="1"/>
  <c r="Q232" i="12"/>
  <c r="AZ232" i="12"/>
  <c r="V186" i="12"/>
  <c r="W186" i="12" s="1"/>
  <c r="K190" i="12"/>
  <c r="L190" i="12"/>
  <c r="BI190" i="12"/>
  <c r="H233" i="12" l="1"/>
  <c r="X186" i="12"/>
  <c r="Z186" i="12"/>
  <c r="M190" i="12"/>
  <c r="I233" i="12" l="1"/>
  <c r="Q233" i="12"/>
  <c r="AZ233" i="12"/>
  <c r="Y186" i="12"/>
  <c r="AA186" i="12"/>
  <c r="AB186" i="12" s="1"/>
  <c r="R190" i="12"/>
  <c r="J233" i="12" l="1"/>
  <c r="U187" i="12"/>
  <c r="S190" i="12"/>
  <c r="T190" i="12"/>
  <c r="V187" i="12" l="1"/>
  <c r="W187" i="12" s="1"/>
  <c r="L191" i="12"/>
  <c r="BI191" i="12"/>
  <c r="K191" i="12"/>
  <c r="H234" i="12" l="1"/>
  <c r="X187" i="12"/>
  <c r="Z187" i="12"/>
  <c r="M191" i="12"/>
  <c r="AZ234" i="12" l="1"/>
  <c r="Q234" i="12"/>
  <c r="I234" i="12"/>
  <c r="J234" i="12"/>
  <c r="Y187" i="12"/>
  <c r="AA187" i="12"/>
  <c r="AB187" i="12" s="1"/>
  <c r="R191" i="12"/>
  <c r="H235" i="12" l="1"/>
  <c r="U188" i="12"/>
  <c r="T191" i="12"/>
  <c r="S191" i="12"/>
  <c r="I235" i="12" l="1"/>
  <c r="Q235" i="12"/>
  <c r="AZ235" i="12"/>
  <c r="V188" i="12"/>
  <c r="W188" i="12" s="1"/>
  <c r="BI192" i="12"/>
  <c r="L192" i="12"/>
  <c r="K192" i="12"/>
  <c r="J235" i="12" l="1"/>
  <c r="H236" i="12"/>
  <c r="X188" i="12"/>
  <c r="Z188" i="12"/>
  <c r="M192" i="12"/>
  <c r="R192" i="12" s="1"/>
  <c r="AZ236" i="12" l="1"/>
  <c r="I236" i="12"/>
  <c r="Q236" i="12"/>
  <c r="H237" i="12"/>
  <c r="Y188" i="12"/>
  <c r="U189" i="12" s="1"/>
  <c r="AA188" i="12"/>
  <c r="AB188" i="12" s="1"/>
  <c r="S192" i="12"/>
  <c r="T192" i="12"/>
  <c r="H238" i="12" l="1"/>
  <c r="J236" i="12"/>
  <c r="Q237" i="12"/>
  <c r="I237" i="12"/>
  <c r="AZ237" i="12"/>
  <c r="V189" i="12"/>
  <c r="W189" i="12" s="1"/>
  <c r="L193" i="12"/>
  <c r="K193" i="12"/>
  <c r="BI193" i="12"/>
  <c r="Q238" i="12" l="1"/>
  <c r="AZ238" i="12"/>
  <c r="I238" i="12"/>
  <c r="J237" i="12"/>
  <c r="X189" i="12"/>
  <c r="Z189" i="12"/>
  <c r="M193" i="12"/>
  <c r="J238" i="12" l="1"/>
  <c r="Y189" i="12"/>
  <c r="U190" i="12" s="1"/>
  <c r="AA189" i="12"/>
  <c r="AB189" i="12" s="1"/>
  <c r="R193" i="12"/>
  <c r="H239" i="12" l="1"/>
  <c r="V190" i="12"/>
  <c r="W190" i="12" s="1"/>
  <c r="T193" i="12"/>
  <c r="S193" i="12"/>
  <c r="I239" i="12" l="1"/>
  <c r="J239" i="12" s="1"/>
  <c r="AZ239" i="12"/>
  <c r="Q239" i="12"/>
  <c r="X190" i="12"/>
  <c r="Z190" i="12"/>
  <c r="BI194" i="12"/>
  <c r="L194" i="12"/>
  <c r="K194" i="12"/>
  <c r="H240" i="12" l="1"/>
  <c r="Y190" i="12"/>
  <c r="U191" i="12" s="1"/>
  <c r="AA190" i="12"/>
  <c r="AB190" i="12" s="1"/>
  <c r="M194" i="12"/>
  <c r="I240" i="12" l="1"/>
  <c r="AZ240" i="12"/>
  <c r="Q240" i="12"/>
  <c r="V191" i="12"/>
  <c r="W191" i="12" s="1"/>
  <c r="R194" i="12"/>
  <c r="G123" i="12" l="1"/>
  <c r="E118" i="12" s="1"/>
  <c r="H241" i="12"/>
  <c r="J240" i="12"/>
  <c r="X191" i="12"/>
  <c r="Z191" i="12"/>
  <c r="T194" i="12"/>
  <c r="S194" i="12"/>
  <c r="I241" i="12" l="1"/>
  <c r="J241" i="12" s="1"/>
  <c r="Q241" i="12"/>
  <c r="AZ241" i="12"/>
  <c r="H242" i="12"/>
  <c r="Y191" i="12"/>
  <c r="U192" i="12" s="1"/>
  <c r="AA191" i="12"/>
  <c r="AB191" i="12" s="1"/>
  <c r="BI195" i="12"/>
  <c r="L195" i="12"/>
  <c r="K195" i="12"/>
  <c r="Q242" i="12" l="1"/>
  <c r="AZ242" i="12"/>
  <c r="I242" i="12"/>
  <c r="V192" i="12"/>
  <c r="W192" i="12" s="1"/>
  <c r="M195" i="12"/>
  <c r="H244" i="12" l="1"/>
  <c r="H243" i="12"/>
  <c r="J242" i="12"/>
  <c r="F123" i="12"/>
  <c r="E117" i="12" s="1"/>
  <c r="X192" i="12"/>
  <c r="Z192" i="12"/>
  <c r="R195" i="12"/>
  <c r="I244" i="12" l="1"/>
  <c r="AZ244" i="12"/>
  <c r="Q244" i="12"/>
  <c r="I243" i="12"/>
  <c r="Q243" i="12"/>
  <c r="AZ243" i="12"/>
  <c r="S195" i="12"/>
  <c r="T195" i="12"/>
  <c r="Y192" i="12"/>
  <c r="AA192" i="12"/>
  <c r="AB192" i="12" s="1"/>
  <c r="J243" i="12" l="1"/>
  <c r="L196" i="12"/>
  <c r="K196" i="12"/>
  <c r="BI196" i="12"/>
  <c r="U193" i="12"/>
  <c r="J244" i="12" l="1"/>
  <c r="E123" i="12"/>
  <c r="E116" i="12" s="1"/>
  <c r="E94" i="12" s="1"/>
  <c r="H245" i="12"/>
  <c r="M196" i="12"/>
  <c r="V193" i="12"/>
  <c r="W193" i="12" s="1"/>
  <c r="E95" i="12" l="1"/>
  <c r="F94" i="12"/>
  <c r="V5" i="12"/>
  <c r="W5" i="12" s="1"/>
  <c r="X5" i="12" s="1"/>
  <c r="E97" i="12"/>
  <c r="H123" i="12"/>
  <c r="E96" i="12" s="1"/>
  <c r="AZ245" i="12"/>
  <c r="N7" i="12" s="1"/>
  <c r="BB126" i="12" s="1"/>
  <c r="Q245" i="12"/>
  <c r="Q123" i="12" s="1"/>
  <c r="E105" i="12" s="1"/>
  <c r="I245" i="12"/>
  <c r="X193" i="12"/>
  <c r="Z193" i="12"/>
  <c r="R196" i="12"/>
  <c r="AB5" i="12" l="1"/>
  <c r="AA5" i="12"/>
  <c r="Z5" i="12"/>
  <c r="BC126" i="12"/>
  <c r="BD126" i="12" s="1"/>
  <c r="BA127" i="12" s="1"/>
  <c r="BB127" i="12" s="1"/>
  <c r="BC127" i="12" s="1"/>
  <c r="AC126" i="12"/>
  <c r="AD126" i="12" s="1"/>
  <c r="AE126" i="12" s="1"/>
  <c r="J245" i="12"/>
  <c r="I123" i="12"/>
  <c r="Y193" i="12"/>
  <c r="U194" i="12" s="1"/>
  <c r="AA193" i="12"/>
  <c r="AB193" i="12" s="1"/>
  <c r="T196" i="12"/>
  <c r="S196" i="12"/>
  <c r="BD127" i="12" l="1"/>
  <c r="BA128" i="12" s="1"/>
  <c r="BB128" i="12" s="1"/>
  <c r="AC127" i="12"/>
  <c r="AD127" i="12" s="1"/>
  <c r="AE127" i="12" s="1"/>
  <c r="J123" i="12"/>
  <c r="V194" i="12"/>
  <c r="W194" i="12" s="1"/>
  <c r="L197" i="12"/>
  <c r="K197" i="12"/>
  <c r="BI197" i="12"/>
  <c r="BC128" i="12" l="1"/>
  <c r="BD128" i="12" s="1"/>
  <c r="BA129" i="12" s="1"/>
  <c r="BB129" i="12" s="1"/>
  <c r="AC128" i="12"/>
  <c r="AD128" i="12" s="1"/>
  <c r="AE128" i="12" s="1"/>
  <c r="F82" i="12"/>
  <c r="E98" i="12"/>
  <c r="X194" i="12"/>
  <c r="Z194" i="12"/>
  <c r="M197" i="12"/>
  <c r="R197" i="12" s="1"/>
  <c r="AC129" i="12" l="1"/>
  <c r="AD129" i="12" s="1"/>
  <c r="AE129" i="12" s="1"/>
  <c r="BC129" i="12"/>
  <c r="BD129" i="12" s="1"/>
  <c r="BA130" i="12" s="1"/>
  <c r="BB130" i="12" s="1"/>
  <c r="I91" i="12"/>
  <c r="F98" i="12"/>
  <c r="S197" i="12"/>
  <c r="T197" i="12"/>
  <c r="Y194" i="12"/>
  <c r="AA194" i="12"/>
  <c r="AB194" i="12" s="1"/>
  <c r="AC130" i="12" l="1"/>
  <c r="AD130" i="12" s="1"/>
  <c r="AE130" i="12" s="1"/>
  <c r="BC130" i="12"/>
  <c r="BD130" i="12" s="1"/>
  <c r="BA131" i="12" s="1"/>
  <c r="BB131" i="12" s="1"/>
  <c r="BI198" i="12"/>
  <c r="K198" i="12"/>
  <c r="L198" i="12"/>
  <c r="U195" i="12"/>
  <c r="AC131" i="12" l="1"/>
  <c r="AD131" i="12" s="1"/>
  <c r="AE131" i="12" s="1"/>
  <c r="BC131" i="12"/>
  <c r="BD131" i="12" s="1"/>
  <c r="BA132" i="12" s="1"/>
  <c r="BB132" i="12" s="1"/>
  <c r="M198" i="12"/>
  <c r="V195" i="12"/>
  <c r="W195" i="12" s="1"/>
  <c r="AC132" i="12" l="1"/>
  <c r="AD132" i="12" s="1"/>
  <c r="AE132" i="12" s="1"/>
  <c r="BC132" i="12"/>
  <c r="BD132" i="12" s="1"/>
  <c r="BA133" i="12" s="1"/>
  <c r="BB133" i="12" s="1"/>
  <c r="X195" i="12"/>
  <c r="Z195" i="12"/>
  <c r="R198" i="12"/>
  <c r="BC133" i="12" l="1"/>
  <c r="BD133" i="12" s="1"/>
  <c r="BA134" i="12" s="1"/>
  <c r="BB134" i="12" s="1"/>
  <c r="AC133" i="12"/>
  <c r="AD133" i="12" s="1"/>
  <c r="AE133" i="12" s="1"/>
  <c r="T198" i="12"/>
  <c r="S198" i="12"/>
  <c r="Y195" i="12"/>
  <c r="AA195" i="12"/>
  <c r="AB195" i="12" s="1"/>
  <c r="AC134" i="12" l="1"/>
  <c r="AD134" i="12" s="1"/>
  <c r="AE134" i="12" s="1"/>
  <c r="BC134" i="12"/>
  <c r="BD134" i="12" s="1"/>
  <c r="BA135" i="12" s="1"/>
  <c r="BB135" i="12" s="1"/>
  <c r="BI199" i="12"/>
  <c r="K199" i="12"/>
  <c r="L199" i="12"/>
  <c r="U196" i="12"/>
  <c r="BC135" i="12" l="1"/>
  <c r="BD135" i="12" s="1"/>
  <c r="BA136" i="12" s="1"/>
  <c r="BB136" i="12" s="1"/>
  <c r="AC135" i="12"/>
  <c r="AD135" i="12" s="1"/>
  <c r="AE135" i="12" s="1"/>
  <c r="M199" i="12"/>
  <c r="V196" i="12"/>
  <c r="W196" i="12" s="1"/>
  <c r="BC136" i="12" l="1"/>
  <c r="BD136" i="12" s="1"/>
  <c r="BA137" i="12" s="1"/>
  <c r="BB137" i="12" s="1"/>
  <c r="AC136" i="12"/>
  <c r="AD136" i="12" s="1"/>
  <c r="AE136" i="12" s="1"/>
  <c r="X196" i="12"/>
  <c r="Z196" i="12"/>
  <c r="R199" i="12"/>
  <c r="BC137" i="12" l="1"/>
  <c r="BD137" i="12" s="1"/>
  <c r="BA138" i="12" s="1"/>
  <c r="BB138" i="12" s="1"/>
  <c r="AC137" i="12"/>
  <c r="AD137" i="12" s="1"/>
  <c r="AE137" i="12" s="1"/>
  <c r="T199" i="12"/>
  <c r="S199" i="12"/>
  <c r="Y196" i="12"/>
  <c r="AA196" i="12"/>
  <c r="AB196" i="12" s="1"/>
  <c r="AC138" i="12" l="1"/>
  <c r="AD138" i="12" s="1"/>
  <c r="AE138" i="12" s="1"/>
  <c r="BC138" i="12"/>
  <c r="BD138" i="12" s="1"/>
  <c r="BA139" i="12" s="1"/>
  <c r="BB139" i="12" s="1"/>
  <c r="K200" i="12"/>
  <c r="L200" i="12"/>
  <c r="BI200" i="12"/>
  <c r="U197" i="12"/>
  <c r="BC139" i="12" l="1"/>
  <c r="BD139" i="12" s="1"/>
  <c r="BA140" i="12" s="1"/>
  <c r="BB140" i="12" s="1"/>
  <c r="AC139" i="12"/>
  <c r="AD139" i="12" s="1"/>
  <c r="AE139" i="12" s="1"/>
  <c r="M200" i="12"/>
  <c r="V197" i="12"/>
  <c r="W197" i="12" s="1"/>
  <c r="BC140" i="12" l="1"/>
  <c r="BD140" i="12" s="1"/>
  <c r="BA141" i="12" s="1"/>
  <c r="BB141" i="12" s="1"/>
  <c r="AC140" i="12"/>
  <c r="AD140" i="12" s="1"/>
  <c r="AE140" i="12" s="1"/>
  <c r="X197" i="12"/>
  <c r="Z197" i="12"/>
  <c r="R200" i="12"/>
  <c r="BC141" i="12" l="1"/>
  <c r="BD141" i="12" s="1"/>
  <c r="BA142" i="12" s="1"/>
  <c r="BB142" i="12" s="1"/>
  <c r="AC141" i="12"/>
  <c r="AD141" i="12" s="1"/>
  <c r="AE141" i="12" s="1"/>
  <c r="T200" i="12"/>
  <c r="S200" i="12"/>
  <c r="Y197" i="12"/>
  <c r="AA197" i="12"/>
  <c r="AB197" i="12" s="1"/>
  <c r="AC142" i="12" l="1"/>
  <c r="AD142" i="12" s="1"/>
  <c r="AE142" i="12" s="1"/>
  <c r="BC142" i="12"/>
  <c r="BD142" i="12" s="1"/>
  <c r="BA143" i="12" s="1"/>
  <c r="BB143" i="12" s="1"/>
  <c r="BI201" i="12"/>
  <c r="L201" i="12"/>
  <c r="K201" i="12"/>
  <c r="U198" i="12"/>
  <c r="BC143" i="12" l="1"/>
  <c r="BD143" i="12" s="1"/>
  <c r="BA144" i="12" s="1"/>
  <c r="BB144" i="12" s="1"/>
  <c r="AC143" i="12"/>
  <c r="AD143" i="12" s="1"/>
  <c r="AE143" i="12" s="1"/>
  <c r="M201" i="12"/>
  <c r="V198" i="12"/>
  <c r="W198" i="12" s="1"/>
  <c r="BC144" i="12" l="1"/>
  <c r="BD144" i="12" s="1"/>
  <c r="BA145" i="12" s="1"/>
  <c r="BB145" i="12" s="1"/>
  <c r="AC144" i="12"/>
  <c r="AD144" i="12" s="1"/>
  <c r="AE144" i="12" s="1"/>
  <c r="X198" i="12"/>
  <c r="Z198" i="12"/>
  <c r="R201" i="12"/>
  <c r="BC145" i="12" l="1"/>
  <c r="BD145" i="12" s="1"/>
  <c r="BA146" i="12" s="1"/>
  <c r="BB146" i="12" s="1"/>
  <c r="AC145" i="12"/>
  <c r="AD145" i="12" s="1"/>
  <c r="AE145" i="12" s="1"/>
  <c r="T201" i="12"/>
  <c r="S201" i="12"/>
  <c r="Y198" i="12"/>
  <c r="AA198" i="12"/>
  <c r="AB198" i="12" s="1"/>
  <c r="AC146" i="12" l="1"/>
  <c r="AD146" i="12" s="1"/>
  <c r="AE146" i="12" s="1"/>
  <c r="BC146" i="12"/>
  <c r="BD146" i="12" s="1"/>
  <c r="BA147" i="12" s="1"/>
  <c r="BB147" i="12" s="1"/>
  <c r="BI202" i="12"/>
  <c r="L202" i="12"/>
  <c r="K202" i="12"/>
  <c r="U199" i="12"/>
  <c r="BC147" i="12" l="1"/>
  <c r="BD147" i="12" s="1"/>
  <c r="BA148" i="12" s="1"/>
  <c r="BB148" i="12" s="1"/>
  <c r="AC147" i="12"/>
  <c r="AD147" i="12" s="1"/>
  <c r="AE147" i="12" s="1"/>
  <c r="M202" i="12"/>
  <c r="V199" i="12"/>
  <c r="W199" i="12" s="1"/>
  <c r="AC148" i="12" l="1"/>
  <c r="AD148" i="12" s="1"/>
  <c r="AE148" i="12" s="1"/>
  <c r="BC148" i="12"/>
  <c r="BD148" i="12" s="1"/>
  <c r="BA149" i="12" s="1"/>
  <c r="BB149" i="12" s="1"/>
  <c r="X199" i="12"/>
  <c r="Z199" i="12"/>
  <c r="R202" i="12"/>
  <c r="AC149" i="12" l="1"/>
  <c r="AD149" i="12" s="1"/>
  <c r="AE149" i="12" s="1"/>
  <c r="BC149" i="12"/>
  <c r="BD149" i="12" s="1"/>
  <c r="BA150" i="12" s="1"/>
  <c r="BB150" i="12" s="1"/>
  <c r="T202" i="12"/>
  <c r="S202" i="12"/>
  <c r="Y199" i="12"/>
  <c r="AA199" i="12"/>
  <c r="AB199" i="12" s="1"/>
  <c r="BC150" i="12" l="1"/>
  <c r="BD150" i="12" s="1"/>
  <c r="BA151" i="12" s="1"/>
  <c r="BB151" i="12" s="1"/>
  <c r="AC150" i="12"/>
  <c r="AD150" i="12" s="1"/>
  <c r="AE150" i="12" s="1"/>
  <c r="L203" i="12"/>
  <c r="BI203" i="12"/>
  <c r="K203" i="12"/>
  <c r="U200" i="12"/>
  <c r="BC151" i="12" l="1"/>
  <c r="BD151" i="12" s="1"/>
  <c r="BA152" i="12" s="1"/>
  <c r="BB152" i="12" s="1"/>
  <c r="AC151" i="12"/>
  <c r="AD151" i="12" s="1"/>
  <c r="AE151" i="12" s="1"/>
  <c r="M203" i="12"/>
  <c r="V200" i="12"/>
  <c r="W200" i="12" s="1"/>
  <c r="AC152" i="12" l="1"/>
  <c r="AD152" i="12" s="1"/>
  <c r="AE152" i="12" s="1"/>
  <c r="BC152" i="12"/>
  <c r="BD152" i="12" s="1"/>
  <c r="BA153" i="12" s="1"/>
  <c r="BB153" i="12" s="1"/>
  <c r="X200" i="12"/>
  <c r="Z200" i="12"/>
  <c r="R203" i="12"/>
  <c r="AC153" i="12" l="1"/>
  <c r="AD153" i="12" s="1"/>
  <c r="AE153" i="12" s="1"/>
  <c r="BC153" i="12"/>
  <c r="BD153" i="12" s="1"/>
  <c r="BA154" i="12" s="1"/>
  <c r="BB154" i="12" s="1"/>
  <c r="Y200" i="12"/>
  <c r="U201" i="12" s="1"/>
  <c r="AA200" i="12"/>
  <c r="AB200" i="12" s="1"/>
  <c r="S203" i="12"/>
  <c r="T203" i="12"/>
  <c r="BC154" i="12" l="1"/>
  <c r="BD154" i="12" s="1"/>
  <c r="BA155" i="12" s="1"/>
  <c r="BB155" i="12" s="1"/>
  <c r="AC154" i="12"/>
  <c r="AD154" i="12" s="1"/>
  <c r="AE154" i="12" s="1"/>
  <c r="V201" i="12"/>
  <c r="W201" i="12" s="1"/>
  <c r="BI204" i="12"/>
  <c r="K204" i="12"/>
  <c r="L204" i="12"/>
  <c r="AC155" i="12" l="1"/>
  <c r="AD155" i="12" s="1"/>
  <c r="AE155" i="12" s="1"/>
  <c r="BC155" i="12"/>
  <c r="BD155" i="12" s="1"/>
  <c r="BA156" i="12" s="1"/>
  <c r="BB156" i="12" s="1"/>
  <c r="X201" i="12"/>
  <c r="Z201" i="12"/>
  <c r="M204" i="12"/>
  <c r="BC156" i="12" l="1"/>
  <c r="BD156" i="12" s="1"/>
  <c r="BA157" i="12" s="1"/>
  <c r="BB157" i="12" s="1"/>
  <c r="AC156" i="12"/>
  <c r="AD156" i="12" s="1"/>
  <c r="AE156" i="12" s="1"/>
  <c r="Y201" i="12"/>
  <c r="AA201" i="12"/>
  <c r="AB201" i="12" s="1"/>
  <c r="R204" i="12"/>
  <c r="AC157" i="12" l="1"/>
  <c r="AD157" i="12" s="1"/>
  <c r="AE157" i="12" s="1"/>
  <c r="BC157" i="12"/>
  <c r="BD157" i="12" s="1"/>
  <c r="BA158" i="12" s="1"/>
  <c r="BB158" i="12" s="1"/>
  <c r="U202" i="12"/>
  <c r="T204" i="12"/>
  <c r="S204" i="12"/>
  <c r="AC158" i="12" l="1"/>
  <c r="AD158" i="12" s="1"/>
  <c r="AE158" i="12" s="1"/>
  <c r="BC158" i="12"/>
  <c r="BD158" i="12" s="1"/>
  <c r="BA159" i="12" s="1"/>
  <c r="BB159" i="12" s="1"/>
  <c r="V202" i="12"/>
  <c r="W202" i="12" s="1"/>
  <c r="BI205" i="12"/>
  <c r="K205" i="12"/>
  <c r="L205" i="12"/>
  <c r="BC159" i="12" l="1"/>
  <c r="BD159" i="12" s="1"/>
  <c r="BA160" i="12" s="1"/>
  <c r="BB160" i="12" s="1"/>
  <c r="AC159" i="12"/>
  <c r="AD159" i="12" s="1"/>
  <c r="AE159" i="12" s="1"/>
  <c r="X202" i="12"/>
  <c r="Z202" i="12"/>
  <c r="M205" i="12"/>
  <c r="BC160" i="12" l="1"/>
  <c r="BD160" i="12" s="1"/>
  <c r="BA161" i="12" s="1"/>
  <c r="BB161" i="12" s="1"/>
  <c r="AC160" i="12"/>
  <c r="AD160" i="12" s="1"/>
  <c r="AE160" i="12" s="1"/>
  <c r="Y202" i="12"/>
  <c r="AA202" i="12"/>
  <c r="AB202" i="12" s="1"/>
  <c r="R205" i="12"/>
  <c r="BC161" i="12" l="1"/>
  <c r="BD161" i="12" s="1"/>
  <c r="BA162" i="12" s="1"/>
  <c r="BB162" i="12" s="1"/>
  <c r="AC161" i="12"/>
  <c r="AD161" i="12" s="1"/>
  <c r="AE161" i="12" s="1"/>
  <c r="U203" i="12"/>
  <c r="T205" i="12"/>
  <c r="S205" i="12"/>
  <c r="BC162" i="12" l="1"/>
  <c r="BD162" i="12" s="1"/>
  <c r="BA163" i="12" s="1"/>
  <c r="BB163" i="12" s="1"/>
  <c r="AC162" i="12"/>
  <c r="AD162" i="12" s="1"/>
  <c r="AE162" i="12" s="1"/>
  <c r="V203" i="12"/>
  <c r="W203" i="12" s="1"/>
  <c r="BI206" i="12"/>
  <c r="L206" i="12"/>
  <c r="K206" i="12"/>
  <c r="BC163" i="12" l="1"/>
  <c r="BD163" i="12" s="1"/>
  <c r="BA164" i="12" s="1"/>
  <c r="BB164" i="12" s="1"/>
  <c r="AC163" i="12"/>
  <c r="AD163" i="12" s="1"/>
  <c r="AE163" i="12" s="1"/>
  <c r="X203" i="12"/>
  <c r="Z203" i="12"/>
  <c r="M206" i="12"/>
  <c r="AC164" i="12" l="1"/>
  <c r="AD164" i="12" s="1"/>
  <c r="AE164" i="12" s="1"/>
  <c r="BC164" i="12"/>
  <c r="BD164" i="12" s="1"/>
  <c r="BA165" i="12" s="1"/>
  <c r="BB165" i="12" s="1"/>
  <c r="Y203" i="12"/>
  <c r="AA203" i="12"/>
  <c r="AB203" i="12" s="1"/>
  <c r="R206" i="12"/>
  <c r="AC165" i="12" l="1"/>
  <c r="AD165" i="12" s="1"/>
  <c r="AE165" i="12" s="1"/>
  <c r="BC165" i="12"/>
  <c r="BD165" i="12" s="1"/>
  <c r="BA166" i="12" s="1"/>
  <c r="BB166" i="12" s="1"/>
  <c r="U204" i="12"/>
  <c r="S206" i="12"/>
  <c r="T206" i="12"/>
  <c r="AC166" i="12" l="1"/>
  <c r="AD166" i="12" s="1"/>
  <c r="AE166" i="12" s="1"/>
  <c r="BC166" i="12"/>
  <c r="BD166" i="12" s="1"/>
  <c r="BA167" i="12" s="1"/>
  <c r="BB167" i="12" s="1"/>
  <c r="V204" i="12"/>
  <c r="W204" i="12" s="1"/>
  <c r="BI207" i="12"/>
  <c r="K207" i="12"/>
  <c r="L207" i="12"/>
  <c r="AC167" i="12" l="1"/>
  <c r="AD167" i="12" s="1"/>
  <c r="AE167" i="12" s="1"/>
  <c r="BC167" i="12"/>
  <c r="BD167" i="12" s="1"/>
  <c r="BA168" i="12" s="1"/>
  <c r="BB168" i="12" s="1"/>
  <c r="X204" i="12"/>
  <c r="Z204" i="12"/>
  <c r="M207" i="12"/>
  <c r="BC168" i="12" l="1"/>
  <c r="BD168" i="12" s="1"/>
  <c r="BA169" i="12" s="1"/>
  <c r="BB169" i="12" s="1"/>
  <c r="AC168" i="12"/>
  <c r="AD168" i="12" s="1"/>
  <c r="AE168" i="12" s="1"/>
  <c r="Y204" i="12"/>
  <c r="U205" i="12" s="1"/>
  <c r="AA204" i="12"/>
  <c r="AB204" i="12" s="1"/>
  <c r="R207" i="12"/>
  <c r="AC169" i="12" l="1"/>
  <c r="AD169" i="12" s="1"/>
  <c r="AE169" i="12" s="1"/>
  <c r="BC169" i="12"/>
  <c r="BD169" i="12" s="1"/>
  <c r="BA170" i="12" s="1"/>
  <c r="BB170" i="12" s="1"/>
  <c r="V205" i="12"/>
  <c r="W205" i="12" s="1"/>
  <c r="T207" i="12"/>
  <c r="S207" i="12"/>
  <c r="AC170" i="12" l="1"/>
  <c r="AD170" i="12" s="1"/>
  <c r="AE170" i="12" s="1"/>
  <c r="BC170" i="12"/>
  <c r="BD170" i="12" s="1"/>
  <c r="BA171" i="12" s="1"/>
  <c r="BB171" i="12" s="1"/>
  <c r="X205" i="12"/>
  <c r="Z205" i="12"/>
  <c r="BI208" i="12"/>
  <c r="L208" i="12"/>
  <c r="K208" i="12"/>
  <c r="AC171" i="12" l="1"/>
  <c r="AD171" i="12" s="1"/>
  <c r="AE171" i="12" s="1"/>
  <c r="BC171" i="12"/>
  <c r="BD171" i="12" s="1"/>
  <c r="BA172" i="12" s="1"/>
  <c r="BB172" i="12" s="1"/>
  <c r="M208" i="12"/>
  <c r="Y205" i="12"/>
  <c r="AA205" i="12"/>
  <c r="AB205" i="12" s="1"/>
  <c r="AC172" i="12" l="1"/>
  <c r="AD172" i="12" s="1"/>
  <c r="AE172" i="12" s="1"/>
  <c r="BC172" i="12"/>
  <c r="BD172" i="12" s="1"/>
  <c r="BA173" i="12" s="1"/>
  <c r="BB173" i="12" s="1"/>
  <c r="U206" i="12"/>
  <c r="R208" i="12"/>
  <c r="AC173" i="12" l="1"/>
  <c r="AD173" i="12" s="1"/>
  <c r="AE173" i="12" s="1"/>
  <c r="BC173" i="12"/>
  <c r="BD173" i="12" s="1"/>
  <c r="BA174" i="12" s="1"/>
  <c r="BB174" i="12" s="1"/>
  <c r="V206" i="12"/>
  <c r="W206" i="12" s="1"/>
  <c r="S208" i="12"/>
  <c r="T208" i="12"/>
  <c r="BC174" i="12" l="1"/>
  <c r="BD174" i="12" s="1"/>
  <c r="BA175" i="12" s="1"/>
  <c r="BB175" i="12" s="1"/>
  <c r="AC174" i="12"/>
  <c r="AD174" i="12" s="1"/>
  <c r="AE174" i="12" s="1"/>
  <c r="X206" i="12"/>
  <c r="Z206" i="12"/>
  <c r="K209" i="12"/>
  <c r="BI209" i="12"/>
  <c r="L209" i="12"/>
  <c r="BC175" i="12" l="1"/>
  <c r="BD175" i="12" s="1"/>
  <c r="BA176" i="12" s="1"/>
  <c r="BB176" i="12" s="1"/>
  <c r="AC175" i="12"/>
  <c r="AD175" i="12" s="1"/>
  <c r="AE175" i="12" s="1"/>
  <c r="Y206" i="12"/>
  <c r="U207" i="12" s="1"/>
  <c r="AA206" i="12"/>
  <c r="AB206" i="12" s="1"/>
  <c r="M209" i="12"/>
  <c r="R209" i="12" s="1"/>
  <c r="BC176" i="12" l="1"/>
  <c r="BD176" i="12" s="1"/>
  <c r="BA177" i="12" s="1"/>
  <c r="BB177" i="12" s="1"/>
  <c r="AC176" i="12"/>
  <c r="AD176" i="12" s="1"/>
  <c r="AE176" i="12" s="1"/>
  <c r="V207" i="12"/>
  <c r="W207" i="12" s="1"/>
  <c r="S209" i="12"/>
  <c r="T209" i="12"/>
  <c r="AC177" i="12" l="1"/>
  <c r="AD177" i="12" s="1"/>
  <c r="AE177" i="12" s="1"/>
  <c r="BC177" i="12"/>
  <c r="BD177" i="12" s="1"/>
  <c r="BA178" i="12" s="1"/>
  <c r="BB178" i="12" s="1"/>
  <c r="X207" i="12"/>
  <c r="Z207" i="12"/>
  <c r="L210" i="12"/>
  <c r="BI210" i="12"/>
  <c r="K210" i="12"/>
  <c r="AC178" i="12" l="1"/>
  <c r="AD178" i="12" s="1"/>
  <c r="AE178" i="12" s="1"/>
  <c r="BC178" i="12"/>
  <c r="BD178" i="12" s="1"/>
  <c r="BA179" i="12" s="1"/>
  <c r="BB179" i="12" s="1"/>
  <c r="Y207" i="12"/>
  <c r="U208" i="12" s="1"/>
  <c r="AA207" i="12"/>
  <c r="AB207" i="12" s="1"/>
  <c r="M210" i="12"/>
  <c r="BC179" i="12" l="1"/>
  <c r="BD179" i="12" s="1"/>
  <c r="BA180" i="12" s="1"/>
  <c r="BB180" i="12" s="1"/>
  <c r="AC179" i="12"/>
  <c r="AD179" i="12" s="1"/>
  <c r="AE179" i="12" s="1"/>
  <c r="V208" i="12"/>
  <c r="W208" i="12" s="1"/>
  <c r="R210" i="12"/>
  <c r="AC180" i="12" l="1"/>
  <c r="AD180" i="12" s="1"/>
  <c r="AE180" i="12" s="1"/>
  <c r="BC180" i="12"/>
  <c r="BD180" i="12" s="1"/>
  <c r="BA181" i="12" s="1"/>
  <c r="BB181" i="12" s="1"/>
  <c r="X208" i="12"/>
  <c r="Z208" i="12"/>
  <c r="T210" i="12"/>
  <c r="S210" i="12"/>
  <c r="AC181" i="12" l="1"/>
  <c r="AD181" i="12" s="1"/>
  <c r="AE181" i="12" s="1"/>
  <c r="BC181" i="12"/>
  <c r="BD181" i="12" s="1"/>
  <c r="BA182" i="12" s="1"/>
  <c r="BB182" i="12" s="1"/>
  <c r="BI211" i="12"/>
  <c r="L211" i="12"/>
  <c r="K211" i="12"/>
  <c r="Y208" i="12"/>
  <c r="AA208" i="12"/>
  <c r="AB208" i="12" s="1"/>
  <c r="AC182" i="12" l="1"/>
  <c r="AD182" i="12" s="1"/>
  <c r="AE182" i="12" s="1"/>
  <c r="BC182" i="12"/>
  <c r="BD182" i="12" s="1"/>
  <c r="BA183" i="12" s="1"/>
  <c r="BB183" i="12" s="1"/>
  <c r="M211" i="12"/>
  <c r="U209" i="12"/>
  <c r="AC183" i="12" l="1"/>
  <c r="AD183" i="12" s="1"/>
  <c r="AE183" i="12" s="1"/>
  <c r="BC183" i="12"/>
  <c r="BD183" i="12" s="1"/>
  <c r="BA184" i="12" s="1"/>
  <c r="BB184" i="12" s="1"/>
  <c r="V209" i="12"/>
  <c r="W209" i="12" s="1"/>
  <c r="R211" i="12"/>
  <c r="BC184" i="12" l="1"/>
  <c r="BD184" i="12" s="1"/>
  <c r="BA185" i="12" s="1"/>
  <c r="BB185" i="12" s="1"/>
  <c r="AC184" i="12"/>
  <c r="AD184" i="12" s="1"/>
  <c r="AE184" i="12" s="1"/>
  <c r="X209" i="12"/>
  <c r="Z209" i="12"/>
  <c r="T211" i="12"/>
  <c r="S211" i="12"/>
  <c r="BC185" i="12" l="1"/>
  <c r="BD185" i="12" s="1"/>
  <c r="BA186" i="12" s="1"/>
  <c r="BB186" i="12" s="1"/>
  <c r="AC185" i="12"/>
  <c r="AD185" i="12" s="1"/>
  <c r="AE185" i="12" s="1"/>
  <c r="Y209" i="12"/>
  <c r="U210" i="12" s="1"/>
  <c r="AA209" i="12"/>
  <c r="AB209" i="12" s="1"/>
  <c r="L212" i="12"/>
  <c r="K212" i="12"/>
  <c r="BI212" i="12"/>
  <c r="AC186" i="12" l="1"/>
  <c r="AD186" i="12" s="1"/>
  <c r="AE186" i="12" s="1"/>
  <c r="BC186" i="12"/>
  <c r="BD186" i="12" s="1"/>
  <c r="BA187" i="12" s="1"/>
  <c r="BB187" i="12" s="1"/>
  <c r="V210" i="12"/>
  <c r="W210" i="12" s="1"/>
  <c r="M212" i="12"/>
  <c r="BC187" i="12" l="1"/>
  <c r="BD187" i="12" s="1"/>
  <c r="BA188" i="12" s="1"/>
  <c r="BB188" i="12" s="1"/>
  <c r="AC187" i="12"/>
  <c r="AD187" i="12" s="1"/>
  <c r="AE187" i="12" s="1"/>
  <c r="X210" i="12"/>
  <c r="Z210" i="12"/>
  <c r="R212" i="12"/>
  <c r="AC188" i="12" l="1"/>
  <c r="AD188" i="12" s="1"/>
  <c r="AE188" i="12" s="1"/>
  <c r="BC188" i="12"/>
  <c r="BD188" i="12" s="1"/>
  <c r="BA189" i="12" s="1"/>
  <c r="BB189" i="12" s="1"/>
  <c r="Y210" i="12"/>
  <c r="U211" i="12" s="1"/>
  <c r="AA210" i="12"/>
  <c r="AB210" i="12" s="1"/>
  <c r="S212" i="12"/>
  <c r="T212" i="12"/>
  <c r="AC189" i="12" l="1"/>
  <c r="AD189" i="12" s="1"/>
  <c r="AE189" i="12" s="1"/>
  <c r="BC189" i="12"/>
  <c r="BD189" i="12" s="1"/>
  <c r="BA190" i="12" s="1"/>
  <c r="BB190" i="12" s="1"/>
  <c r="V211" i="12"/>
  <c r="W211" i="12" s="1"/>
  <c r="BI213" i="12"/>
  <c r="L213" i="12"/>
  <c r="K213" i="12"/>
  <c r="AC190" i="12" l="1"/>
  <c r="AD190" i="12" s="1"/>
  <c r="AE190" i="12" s="1"/>
  <c r="BC190" i="12"/>
  <c r="BD190" i="12" s="1"/>
  <c r="BA191" i="12" s="1"/>
  <c r="BB191" i="12" s="1"/>
  <c r="X211" i="12"/>
  <c r="Z211" i="12"/>
  <c r="M213" i="12"/>
  <c r="R213" i="12" s="1"/>
  <c r="BC191" i="12" l="1"/>
  <c r="BD191" i="12" s="1"/>
  <c r="BA192" i="12" s="1"/>
  <c r="BB192" i="12" s="1"/>
  <c r="AC191" i="12"/>
  <c r="AD191" i="12" s="1"/>
  <c r="AE191" i="12" s="1"/>
  <c r="T213" i="12"/>
  <c r="S213" i="12"/>
  <c r="Y211" i="12"/>
  <c r="AA211" i="12"/>
  <c r="AB211" i="12" s="1"/>
  <c r="AC192" i="12" l="1"/>
  <c r="AD192" i="12" s="1"/>
  <c r="AE192" i="12" s="1"/>
  <c r="BC192" i="12"/>
  <c r="BD192" i="12" s="1"/>
  <c r="BA193" i="12" s="1"/>
  <c r="BB193" i="12" s="1"/>
  <c r="K214" i="12"/>
  <c r="BI214" i="12"/>
  <c r="L214" i="12"/>
  <c r="U212" i="12"/>
  <c r="AC193" i="12" l="1"/>
  <c r="AD193" i="12" s="1"/>
  <c r="AE193" i="12" s="1"/>
  <c r="BC193" i="12"/>
  <c r="BD193" i="12" s="1"/>
  <c r="BA194" i="12" s="1"/>
  <c r="BB194" i="12" s="1"/>
  <c r="M214" i="12"/>
  <c r="V212" i="12"/>
  <c r="W212" i="12" s="1"/>
  <c r="AC194" i="12" l="1"/>
  <c r="AD194" i="12" s="1"/>
  <c r="AE194" i="12" s="1"/>
  <c r="BC194" i="12"/>
  <c r="BD194" i="12" s="1"/>
  <c r="BA195" i="12" s="1"/>
  <c r="BB195" i="12" s="1"/>
  <c r="X212" i="12"/>
  <c r="Z212" i="12"/>
  <c r="R214" i="12"/>
  <c r="AC195" i="12" l="1"/>
  <c r="AD195" i="12" s="1"/>
  <c r="AE195" i="12" s="1"/>
  <c r="BC195" i="12"/>
  <c r="BD195" i="12" s="1"/>
  <c r="BA196" i="12" s="1"/>
  <c r="BB196" i="12" s="1"/>
  <c r="Y212" i="12"/>
  <c r="U213" i="12" s="1"/>
  <c r="AA212" i="12"/>
  <c r="AB212" i="12" s="1"/>
  <c r="T214" i="12"/>
  <c r="S214" i="12"/>
  <c r="BC196" i="12" l="1"/>
  <c r="BD196" i="12" s="1"/>
  <c r="BA197" i="12" s="1"/>
  <c r="BB197" i="12" s="1"/>
  <c r="AC196" i="12"/>
  <c r="AD196" i="12" s="1"/>
  <c r="AE196" i="12" s="1"/>
  <c r="V213" i="12"/>
  <c r="W213" i="12" s="1"/>
  <c r="BI215" i="12"/>
  <c r="K215" i="12"/>
  <c r="L215" i="12"/>
  <c r="BC197" i="12" l="1"/>
  <c r="BD197" i="12" s="1"/>
  <c r="BA198" i="12" s="1"/>
  <c r="BB198" i="12" s="1"/>
  <c r="AC197" i="12"/>
  <c r="AD197" i="12" s="1"/>
  <c r="AE197" i="12" s="1"/>
  <c r="X213" i="12"/>
  <c r="Z213" i="12"/>
  <c r="M215" i="12"/>
  <c r="BC198" i="12" l="1"/>
  <c r="BD198" i="12" s="1"/>
  <c r="BA199" i="12" s="1"/>
  <c r="BB199" i="12" s="1"/>
  <c r="AC198" i="12"/>
  <c r="AD198" i="12" s="1"/>
  <c r="AE198" i="12" s="1"/>
  <c r="Y213" i="12"/>
  <c r="AA213" i="12"/>
  <c r="AB213" i="12" s="1"/>
  <c r="R215" i="12"/>
  <c r="AC199" i="12" l="1"/>
  <c r="AD199" i="12" s="1"/>
  <c r="AE199" i="12" s="1"/>
  <c r="BC199" i="12"/>
  <c r="BD199" i="12" s="1"/>
  <c r="BA200" i="12" s="1"/>
  <c r="BB200" i="12" s="1"/>
  <c r="U214" i="12"/>
  <c r="T215" i="12"/>
  <c r="S215" i="12"/>
  <c r="AC200" i="12" l="1"/>
  <c r="AD200" i="12" s="1"/>
  <c r="AE200" i="12" s="1"/>
  <c r="BC200" i="12"/>
  <c r="BD200" i="12" s="1"/>
  <c r="BA201" i="12" s="1"/>
  <c r="BB201" i="12" s="1"/>
  <c r="V214" i="12"/>
  <c r="W214" i="12" s="1"/>
  <c r="L216" i="12"/>
  <c r="BI216" i="12"/>
  <c r="K216" i="12"/>
  <c r="BC201" i="12" l="1"/>
  <c r="BD201" i="12" s="1"/>
  <c r="BA202" i="12" s="1"/>
  <c r="BB202" i="12" s="1"/>
  <c r="AC201" i="12"/>
  <c r="AD201" i="12" s="1"/>
  <c r="AE201" i="12" s="1"/>
  <c r="X214" i="12"/>
  <c r="Z214" i="12"/>
  <c r="M216" i="12"/>
  <c r="R216" i="12" s="1"/>
  <c r="BC202" i="12" l="1"/>
  <c r="BD202" i="12" s="1"/>
  <c r="BA203" i="12" s="1"/>
  <c r="BB203" i="12" s="1"/>
  <c r="AC202" i="12"/>
  <c r="AD202" i="12" s="1"/>
  <c r="AE202" i="12" s="1"/>
  <c r="S216" i="12"/>
  <c r="T216" i="12"/>
  <c r="Y214" i="12"/>
  <c r="AA214" i="12"/>
  <c r="AB214" i="12" s="1"/>
  <c r="BC203" i="12" l="1"/>
  <c r="BD203" i="12" s="1"/>
  <c r="BA204" i="12" s="1"/>
  <c r="BB204" i="12" s="1"/>
  <c r="AC203" i="12"/>
  <c r="AD203" i="12" s="1"/>
  <c r="AE203" i="12" s="1"/>
  <c r="BI217" i="12"/>
  <c r="K217" i="12"/>
  <c r="L217" i="12"/>
  <c r="U215" i="12"/>
  <c r="BC204" i="12" l="1"/>
  <c r="BD204" i="12" s="1"/>
  <c r="BA205" i="12" s="1"/>
  <c r="BB205" i="12" s="1"/>
  <c r="AC204" i="12"/>
  <c r="AD204" i="12" s="1"/>
  <c r="AE204" i="12" s="1"/>
  <c r="M217" i="12"/>
  <c r="V215" i="12"/>
  <c r="W215" i="12" s="1"/>
  <c r="AC205" i="12" l="1"/>
  <c r="AD205" i="12" s="1"/>
  <c r="AE205" i="12" s="1"/>
  <c r="BC205" i="12"/>
  <c r="BD205" i="12" s="1"/>
  <c r="BA206" i="12" s="1"/>
  <c r="BB206" i="12" s="1"/>
  <c r="X215" i="12"/>
  <c r="Z215" i="12"/>
  <c r="R217" i="12"/>
  <c r="BC206" i="12" l="1"/>
  <c r="BD206" i="12" s="1"/>
  <c r="BA207" i="12" s="1"/>
  <c r="BB207" i="12" s="1"/>
  <c r="AC206" i="12"/>
  <c r="AD206" i="12" s="1"/>
  <c r="AE206" i="12" s="1"/>
  <c r="T217" i="12"/>
  <c r="S217" i="12"/>
  <c r="Y215" i="12"/>
  <c r="AA215" i="12"/>
  <c r="AB215" i="12" s="1"/>
  <c r="BC207" i="12" l="1"/>
  <c r="BD207" i="12" s="1"/>
  <c r="BA208" i="12" s="1"/>
  <c r="BB208" i="12" s="1"/>
  <c r="AC207" i="12"/>
  <c r="AD207" i="12" s="1"/>
  <c r="AE207" i="12" s="1"/>
  <c r="L218" i="12"/>
  <c r="BI218" i="12"/>
  <c r="K218" i="12"/>
  <c r="U216" i="12"/>
  <c r="BC208" i="12" l="1"/>
  <c r="BD208" i="12" s="1"/>
  <c r="BA209" i="12" s="1"/>
  <c r="BB209" i="12" s="1"/>
  <c r="AC208" i="12"/>
  <c r="AD208" i="12" s="1"/>
  <c r="AE208" i="12" s="1"/>
  <c r="M218" i="12"/>
  <c r="V216" i="12"/>
  <c r="W216" i="12" s="1"/>
  <c r="AC209" i="12" l="1"/>
  <c r="AD209" i="12" s="1"/>
  <c r="AE209" i="12" s="1"/>
  <c r="BC209" i="12"/>
  <c r="BD209" i="12" s="1"/>
  <c r="BA210" i="12" s="1"/>
  <c r="BB210" i="12" s="1"/>
  <c r="X216" i="12"/>
  <c r="Z216" i="12"/>
  <c r="R218" i="12"/>
  <c r="AC210" i="12" l="1"/>
  <c r="AD210" i="12" s="1"/>
  <c r="AE210" i="12" s="1"/>
  <c r="BC210" i="12"/>
  <c r="BD210" i="12" s="1"/>
  <c r="BA211" i="12" s="1"/>
  <c r="BB211" i="12" s="1"/>
  <c r="Y216" i="12"/>
  <c r="U217" i="12" s="1"/>
  <c r="AA216" i="12"/>
  <c r="AB216" i="12" s="1"/>
  <c r="S218" i="12"/>
  <c r="T218" i="12"/>
  <c r="AC211" i="12" l="1"/>
  <c r="AD211" i="12" s="1"/>
  <c r="AE211" i="12" s="1"/>
  <c r="BC211" i="12"/>
  <c r="BD211" i="12" s="1"/>
  <c r="BA212" i="12" s="1"/>
  <c r="BB212" i="12" s="1"/>
  <c r="V217" i="12"/>
  <c r="W217" i="12" s="1"/>
  <c r="BI219" i="12"/>
  <c r="K219" i="12"/>
  <c r="L219" i="12"/>
  <c r="BC212" i="12" l="1"/>
  <c r="BD212" i="12" s="1"/>
  <c r="BA213" i="12" s="1"/>
  <c r="BB213" i="12" s="1"/>
  <c r="AC212" i="12"/>
  <c r="AD212" i="12" s="1"/>
  <c r="AE212" i="12" s="1"/>
  <c r="X217" i="12"/>
  <c r="Z217" i="12"/>
  <c r="M219" i="12"/>
  <c r="BC213" i="12" l="1"/>
  <c r="BD213" i="12" s="1"/>
  <c r="BA214" i="12" s="1"/>
  <c r="BB214" i="12" s="1"/>
  <c r="AC213" i="12"/>
  <c r="AD213" i="12" s="1"/>
  <c r="AE213" i="12" s="1"/>
  <c r="Y217" i="12"/>
  <c r="AA217" i="12"/>
  <c r="AB217" i="12" s="1"/>
  <c r="R219" i="12"/>
  <c r="BC214" i="12" l="1"/>
  <c r="BD214" i="12" s="1"/>
  <c r="BA215" i="12" s="1"/>
  <c r="BB215" i="12" s="1"/>
  <c r="AC214" i="12"/>
  <c r="AD214" i="12" s="1"/>
  <c r="AE214" i="12" s="1"/>
  <c r="U218" i="12"/>
  <c r="T219" i="12"/>
  <c r="S219" i="12"/>
  <c r="BC215" i="12" l="1"/>
  <c r="BD215" i="12" s="1"/>
  <c r="BA216" i="12" s="1"/>
  <c r="AC215" i="12"/>
  <c r="AD215" i="12" s="1"/>
  <c r="AE215" i="12" s="1"/>
  <c r="V218" i="12"/>
  <c r="W218" i="12" s="1"/>
  <c r="K220" i="12"/>
  <c r="BI220" i="12"/>
  <c r="L220" i="12"/>
  <c r="BB216" i="12" l="1"/>
  <c r="X218" i="12"/>
  <c r="Z218" i="12"/>
  <c r="M220" i="12"/>
  <c r="AC216" i="12" l="1"/>
  <c r="AD216" i="12" s="1"/>
  <c r="AE216" i="12" s="1"/>
  <c r="BC216" i="12"/>
  <c r="BD216" i="12" s="1"/>
  <c r="BA217" i="12" s="1"/>
  <c r="Y218" i="12"/>
  <c r="U219" i="12" s="1"/>
  <c r="AA218" i="12"/>
  <c r="AB218" i="12" s="1"/>
  <c r="R220" i="12"/>
  <c r="BB217" i="12" l="1"/>
  <c r="V219" i="12"/>
  <c r="W219" i="12" s="1"/>
  <c r="T220" i="12"/>
  <c r="S220" i="12"/>
  <c r="AC217" i="12" l="1"/>
  <c r="AD217" i="12" s="1"/>
  <c r="AE217" i="12" s="1"/>
  <c r="BC217" i="12"/>
  <c r="X219" i="12"/>
  <c r="Z219" i="12"/>
  <c r="BI221" i="12"/>
  <c r="K221" i="12"/>
  <c r="L221" i="12"/>
  <c r="BD217" i="12" l="1"/>
  <c r="BA218" i="12" s="1"/>
  <c r="Y219" i="12"/>
  <c r="U220" i="12" s="1"/>
  <c r="AA219" i="12"/>
  <c r="AB219" i="12" s="1"/>
  <c r="M221" i="12"/>
  <c r="BB218" i="12" l="1"/>
  <c r="V220" i="12"/>
  <c r="W220" i="12" s="1"/>
  <c r="R221" i="12"/>
  <c r="AC218" i="12" l="1"/>
  <c r="AD218" i="12" s="1"/>
  <c r="AE218" i="12" s="1"/>
  <c r="BC218" i="12"/>
  <c r="X220" i="12"/>
  <c r="Z220" i="12"/>
  <c r="T221" i="12"/>
  <c r="S221" i="12"/>
  <c r="BD218" i="12" l="1"/>
  <c r="BA219" i="12" s="1"/>
  <c r="L222" i="12"/>
  <c r="BI222" i="12"/>
  <c r="K222" i="12"/>
  <c r="Y220" i="12"/>
  <c r="AA220" i="12"/>
  <c r="AB220" i="12" s="1"/>
  <c r="BB219" i="12" l="1"/>
  <c r="M222" i="12"/>
  <c r="R222" i="12" s="1"/>
  <c r="U221" i="12"/>
  <c r="AC219" i="12" l="1"/>
  <c r="AD219" i="12" s="1"/>
  <c r="AE219" i="12" s="1"/>
  <c r="BC219" i="12"/>
  <c r="T222" i="12"/>
  <c r="S222" i="12"/>
  <c r="V221" i="12"/>
  <c r="W221" i="12" s="1"/>
  <c r="BD219" i="12" l="1"/>
  <c r="BA220" i="12" s="1"/>
  <c r="BB220" i="12" s="1"/>
  <c r="K223" i="12"/>
  <c r="BI223" i="12"/>
  <c r="L223" i="12"/>
  <c r="X221" i="12"/>
  <c r="Z221" i="12"/>
  <c r="BC220" i="12" l="1"/>
  <c r="AC220" i="12"/>
  <c r="AD220" i="12" s="1"/>
  <c r="AE220" i="12" s="1"/>
  <c r="M223" i="12"/>
  <c r="Y221" i="12"/>
  <c r="AA221" i="12"/>
  <c r="AB221" i="12" s="1"/>
  <c r="BD220" i="12" l="1"/>
  <c r="BA221" i="12" s="1"/>
  <c r="BB221" i="12" s="1"/>
  <c r="U222" i="12"/>
  <c r="R223" i="12"/>
  <c r="AC221" i="12" l="1"/>
  <c r="AD221" i="12" s="1"/>
  <c r="AE221" i="12" s="1"/>
  <c r="BC221" i="12"/>
  <c r="BD221" i="12" s="1"/>
  <c r="BA222" i="12" s="1"/>
  <c r="BB222" i="12" s="1"/>
  <c r="V222" i="12"/>
  <c r="W222" i="12" s="1"/>
  <c r="T223" i="12"/>
  <c r="S223" i="12"/>
  <c r="BC222" i="12" l="1"/>
  <c r="BD222" i="12" s="1"/>
  <c r="BA223" i="12" s="1"/>
  <c r="BB223" i="12" s="1"/>
  <c r="BC223" i="12" s="1"/>
  <c r="BD223" i="12" s="1"/>
  <c r="BA224" i="12" s="1"/>
  <c r="BB224" i="12" s="1"/>
  <c r="BC224" i="12" s="1"/>
  <c r="BD224" i="12" s="1"/>
  <c r="BA225" i="12" s="1"/>
  <c r="BB225" i="12" s="1"/>
  <c r="BC225" i="12" s="1"/>
  <c r="BD225" i="12" s="1"/>
  <c r="BA226" i="12" s="1"/>
  <c r="BB226" i="12" s="1"/>
  <c r="BC226" i="12" s="1"/>
  <c r="BD226" i="12" s="1"/>
  <c r="BA227" i="12" s="1"/>
  <c r="BB227" i="12" s="1"/>
  <c r="BC227" i="12" s="1"/>
  <c r="BD227" i="12" s="1"/>
  <c r="BA228" i="12" s="1"/>
  <c r="BB228" i="12" s="1"/>
  <c r="BC228" i="12" s="1"/>
  <c r="BD228" i="12" s="1"/>
  <c r="BA229" i="12" s="1"/>
  <c r="BB229" i="12" s="1"/>
  <c r="BC229" i="12" s="1"/>
  <c r="BD229" i="12" s="1"/>
  <c r="BA230" i="12" s="1"/>
  <c r="BB230" i="12" s="1"/>
  <c r="BC230" i="12" s="1"/>
  <c r="BD230" i="12" s="1"/>
  <c r="BA231" i="12" s="1"/>
  <c r="BB231" i="12" s="1"/>
  <c r="BC231" i="12" s="1"/>
  <c r="BD231" i="12" s="1"/>
  <c r="BA232" i="12" s="1"/>
  <c r="BB232" i="12" s="1"/>
  <c r="BC232" i="12" s="1"/>
  <c r="BD232" i="12" s="1"/>
  <c r="BA233" i="12" s="1"/>
  <c r="BB233" i="12" s="1"/>
  <c r="BC233" i="12" s="1"/>
  <c r="BD233" i="12" s="1"/>
  <c r="BA234" i="12" s="1"/>
  <c r="BB234" i="12" s="1"/>
  <c r="BC234" i="12" s="1"/>
  <c r="BD234" i="12" s="1"/>
  <c r="BA235" i="12" s="1"/>
  <c r="BB235" i="12" s="1"/>
  <c r="BC235" i="12" s="1"/>
  <c r="BD235" i="12" s="1"/>
  <c r="BA236" i="12" s="1"/>
  <c r="BB236" i="12" s="1"/>
  <c r="BC236" i="12" s="1"/>
  <c r="BD236" i="12" s="1"/>
  <c r="BA237" i="12" s="1"/>
  <c r="BB237" i="12" s="1"/>
  <c r="BC237" i="12" s="1"/>
  <c r="BD237" i="12" s="1"/>
  <c r="BA238" i="12" s="1"/>
  <c r="BB238" i="12" s="1"/>
  <c r="BC238" i="12" s="1"/>
  <c r="BD238" i="12" s="1"/>
  <c r="BA239" i="12" s="1"/>
  <c r="BB239" i="12" s="1"/>
  <c r="BC239" i="12" s="1"/>
  <c r="BD239" i="12" s="1"/>
  <c r="BA240" i="12" s="1"/>
  <c r="BB240" i="12" s="1"/>
  <c r="BC240" i="12" s="1"/>
  <c r="BD240" i="12" s="1"/>
  <c r="BA241" i="12" s="1"/>
  <c r="BB241" i="12" s="1"/>
  <c r="BC241" i="12" s="1"/>
  <c r="BD241" i="12" s="1"/>
  <c r="BA242" i="12" s="1"/>
  <c r="BB242" i="12" s="1"/>
  <c r="BC242" i="12" s="1"/>
  <c r="BD242" i="12" s="1"/>
  <c r="BA243" i="12" s="1"/>
  <c r="BB243" i="12" s="1"/>
  <c r="BC243" i="12" s="1"/>
  <c r="BD243" i="12" s="1"/>
  <c r="BA244" i="12" s="1"/>
  <c r="BB244" i="12" s="1"/>
  <c r="BC244" i="12" s="1"/>
  <c r="BD244" i="12" s="1"/>
  <c r="BA245" i="12" s="1"/>
  <c r="BB245" i="12" s="1"/>
  <c r="AC222" i="12"/>
  <c r="AD222" i="12" s="1"/>
  <c r="X222" i="12"/>
  <c r="Z222" i="12"/>
  <c r="L224" i="12"/>
  <c r="BI224" i="12"/>
  <c r="K224" i="12"/>
  <c r="BB123" i="12" l="1"/>
  <c r="BC245" i="12"/>
  <c r="Y222" i="12"/>
  <c r="U223" i="12" s="1"/>
  <c r="AA222" i="12"/>
  <c r="AB222" i="12" s="1"/>
  <c r="AE222" i="12" s="1"/>
  <c r="M224" i="12"/>
  <c r="R224" i="12" s="1"/>
  <c r="BD245" i="12" l="1"/>
  <c r="N8" i="12" s="1"/>
  <c r="N10" i="12" s="1"/>
  <c r="BC123" i="12"/>
  <c r="N9" i="12" s="1"/>
  <c r="AC223" i="12"/>
  <c r="AD223" i="12" s="1"/>
  <c r="V223" i="12"/>
  <c r="W223" i="12" s="1"/>
  <c r="T224" i="12"/>
  <c r="S224" i="12"/>
  <c r="X223" i="12" l="1"/>
  <c r="Z223" i="12"/>
  <c r="L225" i="12"/>
  <c r="K225" i="12"/>
  <c r="BI225" i="12"/>
  <c r="Y223" i="12" l="1"/>
  <c r="U224" i="12" s="1"/>
  <c r="AA223" i="12"/>
  <c r="AB223" i="12" s="1"/>
  <c r="AE223" i="12" s="1"/>
  <c r="M225" i="12"/>
  <c r="R225" i="12" s="1"/>
  <c r="AC224" i="12" l="1"/>
  <c r="AD224" i="12" s="1"/>
  <c r="V224" i="12"/>
  <c r="W224" i="12" s="1"/>
  <c r="S225" i="12"/>
  <c r="T225" i="12"/>
  <c r="X224" i="12" l="1"/>
  <c r="Z224" i="12"/>
  <c r="BI226" i="12"/>
  <c r="K226" i="12"/>
  <c r="L226" i="12"/>
  <c r="M226" i="12" l="1"/>
  <c r="Y224" i="12"/>
  <c r="AA224" i="12"/>
  <c r="AB224" i="12" s="1"/>
  <c r="AE224" i="12" s="1"/>
  <c r="U225" i="12" l="1"/>
  <c r="R226" i="12"/>
  <c r="AC225" i="12" l="1"/>
  <c r="AD225" i="12" s="1"/>
  <c r="V225" i="12"/>
  <c r="W225" i="12" s="1"/>
  <c r="T226" i="12"/>
  <c r="S226" i="12"/>
  <c r="X225" i="12" l="1"/>
  <c r="Z225" i="12"/>
  <c r="L227" i="12"/>
  <c r="K227" i="12"/>
  <c r="BI227" i="12"/>
  <c r="Y225" i="12" l="1"/>
  <c r="U226" i="12" s="1"/>
  <c r="AA225" i="12"/>
  <c r="AB225" i="12" s="1"/>
  <c r="AE225" i="12" s="1"/>
  <c r="M227" i="12"/>
  <c r="R227" i="12" s="1"/>
  <c r="AC226" i="12" l="1"/>
  <c r="AD226" i="12" s="1"/>
  <c r="V226" i="12"/>
  <c r="W226" i="12" s="1"/>
  <c r="S227" i="12"/>
  <c r="T227" i="12"/>
  <c r="X226" i="12" l="1"/>
  <c r="Z226" i="12"/>
  <c r="L228" i="12"/>
  <c r="BI228" i="12"/>
  <c r="K228" i="12"/>
  <c r="M228" i="12" l="1"/>
  <c r="Y226" i="12"/>
  <c r="AA226" i="12"/>
  <c r="AB226" i="12" s="1"/>
  <c r="AE226" i="12" s="1"/>
  <c r="U227" i="12" l="1"/>
  <c r="R228" i="12"/>
  <c r="AC227" i="12" l="1"/>
  <c r="AD227" i="12" s="1"/>
  <c r="V227" i="12"/>
  <c r="W227" i="12" s="1"/>
  <c r="S228" i="12"/>
  <c r="T228" i="12"/>
  <c r="X227" i="12" l="1"/>
  <c r="Z227" i="12"/>
  <c r="BI229" i="12"/>
  <c r="L229" i="12"/>
  <c r="K229" i="12"/>
  <c r="M229" i="12" l="1"/>
  <c r="Y227" i="12"/>
  <c r="AA227" i="12"/>
  <c r="AB227" i="12" s="1"/>
  <c r="AE227" i="12" s="1"/>
  <c r="U228" i="12" l="1"/>
  <c r="R229" i="12"/>
  <c r="AC228" i="12" l="1"/>
  <c r="AD228" i="12" s="1"/>
  <c r="V228" i="12"/>
  <c r="W228" i="12" s="1"/>
  <c r="T229" i="12"/>
  <c r="S229" i="12"/>
  <c r="X228" i="12" l="1"/>
  <c r="Z228" i="12"/>
  <c r="L230" i="12"/>
  <c r="K230" i="12"/>
  <c r="BI230" i="12"/>
  <c r="Y228" i="12" l="1"/>
  <c r="U229" i="12" s="1"/>
  <c r="AA228" i="12"/>
  <c r="AB228" i="12" s="1"/>
  <c r="AE228" i="12" s="1"/>
  <c r="M230" i="12"/>
  <c r="R230" i="12" s="1"/>
  <c r="AC229" i="12" l="1"/>
  <c r="AD229" i="12" s="1"/>
  <c r="V229" i="12"/>
  <c r="W229" i="12" s="1"/>
  <c r="T230" i="12"/>
  <c r="S230" i="12"/>
  <c r="X229" i="12" l="1"/>
  <c r="Z229" i="12"/>
  <c r="K231" i="12"/>
  <c r="BI231" i="12"/>
  <c r="L231" i="12"/>
  <c r="M231" i="12" l="1"/>
  <c r="Y229" i="12"/>
  <c r="AA229" i="12"/>
  <c r="AB229" i="12" s="1"/>
  <c r="AE229" i="12" s="1"/>
  <c r="U230" i="12" l="1"/>
  <c r="R231" i="12"/>
  <c r="AC230" i="12" l="1"/>
  <c r="AD230" i="12" s="1"/>
  <c r="V230" i="12"/>
  <c r="W230" i="12" s="1"/>
  <c r="T231" i="12"/>
  <c r="S231" i="12"/>
  <c r="X230" i="12" l="1"/>
  <c r="Z230" i="12"/>
  <c r="L232" i="12"/>
  <c r="K232" i="12"/>
  <c r="BI232" i="12"/>
  <c r="M232" i="12" l="1"/>
  <c r="Y230" i="12"/>
  <c r="AA230" i="12"/>
  <c r="AB230" i="12" s="1"/>
  <c r="AE230" i="12" s="1"/>
  <c r="U231" i="12" l="1"/>
  <c r="R232" i="12"/>
  <c r="AC231" i="12" l="1"/>
  <c r="AD231" i="12" s="1"/>
  <c r="V231" i="12"/>
  <c r="W231" i="12" s="1"/>
  <c r="S232" i="12"/>
  <c r="T232" i="12"/>
  <c r="X231" i="12" l="1"/>
  <c r="Z231" i="12"/>
  <c r="BI233" i="12"/>
  <c r="K233" i="12"/>
  <c r="L233" i="12"/>
  <c r="M233" i="12" l="1"/>
  <c r="R233" i="12" s="1"/>
  <c r="Y231" i="12"/>
  <c r="AA231" i="12"/>
  <c r="AB231" i="12" s="1"/>
  <c r="AE231" i="12" s="1"/>
  <c r="T233" i="12" l="1"/>
  <c r="S233" i="12"/>
  <c r="U232" i="12"/>
  <c r="BI234" i="12" l="1"/>
  <c r="L234" i="12"/>
  <c r="K234" i="12"/>
  <c r="AC232" i="12"/>
  <c r="AD232" i="12" s="1"/>
  <c r="V232" i="12"/>
  <c r="W232" i="12" s="1"/>
  <c r="M234" i="12" l="1"/>
  <c r="R234" i="12" s="1"/>
  <c r="X232" i="12"/>
  <c r="Z232" i="12"/>
  <c r="Y232" i="12" l="1"/>
  <c r="U233" i="12" s="1"/>
  <c r="AA232" i="12"/>
  <c r="AB232" i="12" s="1"/>
  <c r="AE232" i="12" s="1"/>
  <c r="T234" i="12"/>
  <c r="S234" i="12"/>
  <c r="BI235" i="12" l="1"/>
  <c r="K235" i="12"/>
  <c r="L235" i="12"/>
  <c r="AC233" i="12"/>
  <c r="AD233" i="12" s="1"/>
  <c r="V233" i="12"/>
  <c r="W233" i="12" s="1"/>
  <c r="M235" i="12" l="1"/>
  <c r="R235" i="12" s="1"/>
  <c r="X233" i="12"/>
  <c r="Z233" i="12"/>
  <c r="S235" i="12" l="1"/>
  <c r="T235" i="12"/>
  <c r="Y233" i="12"/>
  <c r="AA233" i="12"/>
  <c r="AB233" i="12" s="1"/>
  <c r="AE233" i="12" s="1"/>
  <c r="L236" i="12" l="1"/>
  <c r="BI236" i="12"/>
  <c r="K236" i="12"/>
  <c r="U234" i="12"/>
  <c r="M236" i="12" l="1"/>
  <c r="AC234" i="12"/>
  <c r="AD234" i="12" s="1"/>
  <c r="V234" i="12"/>
  <c r="W234" i="12" s="1"/>
  <c r="X234" i="12" l="1"/>
  <c r="Z234" i="12"/>
  <c r="R236" i="12"/>
  <c r="T236" i="12" l="1"/>
  <c r="S236" i="12"/>
  <c r="Y234" i="12"/>
  <c r="AA234" i="12"/>
  <c r="AB234" i="12" s="1"/>
  <c r="AE234" i="12" s="1"/>
  <c r="BI237" i="12" l="1"/>
  <c r="K237" i="12"/>
  <c r="L237" i="12"/>
  <c r="U235" i="12"/>
  <c r="M237" i="12" l="1"/>
  <c r="R237" i="12" s="1"/>
  <c r="AC235" i="12"/>
  <c r="AD235" i="12" s="1"/>
  <c r="V235" i="12"/>
  <c r="W235" i="12" s="1"/>
  <c r="T237" i="12" l="1"/>
  <c r="S237" i="12"/>
  <c r="X235" i="12"/>
  <c r="Z235" i="12"/>
  <c r="Y235" i="12" l="1"/>
  <c r="U236" i="12" s="1"/>
  <c r="AA235" i="12"/>
  <c r="AB235" i="12" s="1"/>
  <c r="AE235" i="12" s="1"/>
  <c r="K238" i="12"/>
  <c r="L238" i="12"/>
  <c r="BI238" i="12"/>
  <c r="M238" i="12" l="1"/>
  <c r="AC236" i="12"/>
  <c r="AD236" i="12" s="1"/>
  <c r="V236" i="12"/>
  <c r="W236" i="12" s="1"/>
  <c r="X236" i="12" l="1"/>
  <c r="Z236" i="12"/>
  <c r="R238" i="12"/>
  <c r="S238" i="12" l="1"/>
  <c r="T238" i="12"/>
  <c r="Y236" i="12"/>
  <c r="AA236" i="12"/>
  <c r="AB236" i="12" s="1"/>
  <c r="AE236" i="12" s="1"/>
  <c r="L239" i="12" l="1"/>
  <c r="K239" i="12"/>
  <c r="BI239" i="12"/>
  <c r="U237" i="12"/>
  <c r="M239" i="12" l="1"/>
  <c r="AC237" i="12"/>
  <c r="AD237" i="12" s="1"/>
  <c r="V237" i="12"/>
  <c r="W237" i="12" s="1"/>
  <c r="X237" i="12" l="1"/>
  <c r="Z237" i="12"/>
  <c r="R239" i="12"/>
  <c r="T239" i="12" l="1"/>
  <c r="S239" i="12"/>
  <c r="Y237" i="12"/>
  <c r="AA237" i="12"/>
  <c r="AB237" i="12" s="1"/>
  <c r="AE237" i="12" s="1"/>
  <c r="BI240" i="12" l="1"/>
  <c r="K240" i="12"/>
  <c r="L240" i="12"/>
  <c r="U238" i="12"/>
  <c r="M240" i="12" l="1"/>
  <c r="AC238" i="12"/>
  <c r="AD238" i="12" s="1"/>
  <c r="V238" i="12"/>
  <c r="W238" i="12" s="1"/>
  <c r="X238" i="12" l="1"/>
  <c r="Z238" i="12"/>
  <c r="R240" i="12"/>
  <c r="T240" i="12" l="1"/>
  <c r="S240" i="12"/>
  <c r="Y238" i="12"/>
  <c r="AA238" i="12"/>
  <c r="AB238" i="12" s="1"/>
  <c r="AE238" i="12" s="1"/>
  <c r="K241" i="12" l="1"/>
  <c r="BI241" i="12"/>
  <c r="L241" i="12"/>
  <c r="U239" i="12"/>
  <c r="M241" i="12" l="1"/>
  <c r="R241" i="12" s="1"/>
  <c r="AC239" i="12"/>
  <c r="AD239" i="12" s="1"/>
  <c r="V239" i="12"/>
  <c r="W239" i="12" s="1"/>
  <c r="S241" i="12" l="1"/>
  <c r="T241" i="12"/>
  <c r="X239" i="12"/>
  <c r="Z239" i="12"/>
  <c r="K242" i="12" l="1"/>
  <c r="BI242" i="12"/>
  <c r="L242" i="12"/>
  <c r="Y239" i="12"/>
  <c r="AA239" i="12"/>
  <c r="AB239" i="12" s="1"/>
  <c r="AE239" i="12" s="1"/>
  <c r="M242" i="12" l="1"/>
  <c r="R242" i="12" s="1"/>
  <c r="U240" i="12"/>
  <c r="T242" i="12" l="1"/>
  <c r="S242" i="12"/>
  <c r="AC240" i="12"/>
  <c r="AD240" i="12" s="1"/>
  <c r="V240" i="12"/>
  <c r="W240" i="12" s="1"/>
  <c r="K243" i="12" l="1"/>
  <c r="BI243" i="12"/>
  <c r="L243" i="12"/>
  <c r="X240" i="12"/>
  <c r="Z240" i="12"/>
  <c r="Y240" i="12" l="1"/>
  <c r="U241" i="12" s="1"/>
  <c r="AA240" i="12"/>
  <c r="AB240" i="12" s="1"/>
  <c r="AE240" i="12" s="1"/>
  <c r="M243" i="12"/>
  <c r="AC241" i="12" l="1"/>
  <c r="AD241" i="12" s="1"/>
  <c r="V241" i="12"/>
  <c r="W241" i="12" s="1"/>
  <c r="R243" i="12"/>
  <c r="X241" i="12" l="1"/>
  <c r="Z241" i="12"/>
  <c r="S243" i="12"/>
  <c r="T243" i="12"/>
  <c r="Y241" i="12" l="1"/>
  <c r="U242" i="12" s="1"/>
  <c r="AA241" i="12"/>
  <c r="AB241" i="12" s="1"/>
  <c r="AE241" i="12" s="1"/>
  <c r="L244" i="12"/>
  <c r="K244" i="12"/>
  <c r="BI244" i="12"/>
  <c r="AC242" i="12" l="1"/>
  <c r="AD242" i="12" s="1"/>
  <c r="V242" i="12"/>
  <c r="W242" i="12" s="1"/>
  <c r="M244" i="12"/>
  <c r="R244" i="12" s="1"/>
  <c r="X242" i="12" l="1"/>
  <c r="Z242" i="12"/>
  <c r="S244" i="12"/>
  <c r="T244" i="12"/>
  <c r="BI245" i="12" l="1"/>
  <c r="K245" i="12"/>
  <c r="L245" i="12"/>
  <c r="L123" i="12" s="1"/>
  <c r="E100" i="12" s="1"/>
  <c r="F100" i="12" s="1"/>
  <c r="Y242" i="12"/>
  <c r="AA242" i="12"/>
  <c r="AB242" i="12" s="1"/>
  <c r="AE242" i="12" s="1"/>
  <c r="M245" i="12" l="1"/>
  <c r="K123" i="12"/>
  <c r="E99" i="12" s="1"/>
  <c r="U243" i="12"/>
  <c r="F99" i="12" l="1"/>
  <c r="AC243" i="12"/>
  <c r="AD243" i="12" s="1"/>
  <c r="V243" i="12"/>
  <c r="W243" i="12" s="1"/>
  <c r="M123" i="12"/>
  <c r="E101" i="12" s="1"/>
  <c r="F101" i="12" s="1"/>
  <c r="R245" i="12"/>
  <c r="X243" i="12" l="1"/>
  <c r="Z243" i="12"/>
  <c r="R123" i="12"/>
  <c r="V6" i="12"/>
  <c r="W6" i="12" s="1"/>
  <c r="X6" i="12" s="1"/>
  <c r="S245" i="12"/>
  <c r="T245" i="12"/>
  <c r="T123" i="12" s="1"/>
  <c r="Y243" i="12" l="1"/>
  <c r="U244" i="12" s="1"/>
  <c r="AA243" i="12"/>
  <c r="AB243" i="12" s="1"/>
  <c r="AE243" i="12" s="1"/>
  <c r="Z6" i="12"/>
  <c r="AB6" i="12"/>
  <c r="AA6" i="12"/>
  <c r="AC244" i="12" l="1"/>
  <c r="AD244" i="12" s="1"/>
  <c r="V244" i="12"/>
  <c r="W244" i="12" s="1"/>
  <c r="X244" i="12" l="1"/>
  <c r="Z244" i="12"/>
  <c r="Y244" i="12" l="1"/>
  <c r="AA244" i="12"/>
  <c r="AB244" i="12" s="1"/>
  <c r="AE244" i="12" s="1"/>
  <c r="U245" i="12" l="1"/>
  <c r="AC245" i="12" l="1"/>
  <c r="U123" i="12"/>
  <c r="V245" i="12"/>
  <c r="W245" i="12" s="1"/>
  <c r="AD245" i="12" l="1"/>
  <c r="AD123" i="12" s="1"/>
  <c r="E108" i="12" s="1"/>
  <c r="AC123" i="12"/>
  <c r="X245" i="12"/>
  <c r="AA245" i="12" s="1"/>
  <c r="V123" i="12"/>
  <c r="Z245" i="12"/>
  <c r="Y245" i="12" l="1"/>
  <c r="X123" i="12"/>
  <c r="AB245" i="12"/>
  <c r="AA123" i="12"/>
  <c r="F108" i="12" s="1"/>
  <c r="Z123" i="12"/>
  <c r="E106" i="12" s="1"/>
  <c r="N11" i="12"/>
  <c r="F106" i="12" l="1"/>
  <c r="AB123" i="12"/>
  <c r="E107" i="12" s="1"/>
  <c r="F107" i="12" s="1"/>
  <c r="AE245" i="12"/>
  <c r="AF130" i="12" l="1"/>
  <c r="AG130" i="12" s="1"/>
  <c r="AF128" i="12"/>
  <c r="AF129" i="12"/>
  <c r="AG129" i="12" s="1"/>
  <c r="AF126" i="12"/>
  <c r="AF127" i="12"/>
  <c r="AE123" i="12"/>
  <c r="AG128" i="12" l="1"/>
  <c r="AH128" i="12" s="1"/>
  <c r="AF131" i="12"/>
  <c r="AH130" i="12"/>
  <c r="AH129" i="12"/>
  <c r="AG126" i="12"/>
  <c r="AG127" i="12"/>
  <c r="AF132" i="12" l="1"/>
  <c r="AF133" i="12" s="1"/>
  <c r="AG131" i="12"/>
  <c r="AI129" i="12"/>
  <c r="AL129" i="12"/>
  <c r="AI128" i="12"/>
  <c r="AL128" i="12"/>
  <c r="AH126" i="12"/>
  <c r="AL126" i="12" s="1"/>
  <c r="AH127" i="12"/>
  <c r="AI130" i="12"/>
  <c r="AL130" i="12"/>
  <c r="AH131" i="12" l="1"/>
  <c r="AG132" i="12"/>
  <c r="AG133" i="12"/>
  <c r="AF134" i="12"/>
  <c r="AI126" i="12"/>
  <c r="AO126" i="12"/>
  <c r="AI127" i="12"/>
  <c r="AL127" i="12"/>
  <c r="AI131" i="12" l="1"/>
  <c r="AL131" i="12"/>
  <c r="AH132" i="12"/>
  <c r="AH133" i="12"/>
  <c r="AG134" i="12"/>
  <c r="AF135" i="12"/>
  <c r="AF136" i="12" s="1"/>
  <c r="AS126" i="12"/>
  <c r="AP126" i="12"/>
  <c r="AQ126" i="12"/>
  <c r="AI132" i="12" l="1"/>
  <c r="AL132" i="12"/>
  <c r="AI133" i="12"/>
  <c r="AL133" i="12"/>
  <c r="AH134" i="12"/>
  <c r="AG135" i="12"/>
  <c r="AG136" i="12"/>
  <c r="AF137" i="12"/>
  <c r="AT126" i="12"/>
  <c r="AY126" i="12"/>
  <c r="AI134" i="12" l="1"/>
  <c r="AL134" i="12"/>
  <c r="AH135" i="12"/>
  <c r="AH136" i="12"/>
  <c r="AG137" i="12"/>
  <c r="AF138" i="12"/>
  <c r="AV126" i="12"/>
  <c r="AI135" i="12" l="1"/>
  <c r="AL135" i="12"/>
  <c r="AH137" i="12"/>
  <c r="AI136" i="12"/>
  <c r="AL136" i="12"/>
  <c r="AG138" i="12"/>
  <c r="AF139" i="12"/>
  <c r="AW126" i="12"/>
  <c r="AX126" i="12" s="1"/>
  <c r="AH138" i="12" l="1"/>
  <c r="AG139" i="12"/>
  <c r="AF140" i="12"/>
  <c r="AI137" i="12"/>
  <c r="AL137" i="12"/>
  <c r="AH139" i="12" l="1"/>
  <c r="AI138" i="12"/>
  <c r="AL138" i="12"/>
  <c r="AG140" i="12"/>
  <c r="AF141" i="12"/>
  <c r="AF142" i="12" s="1"/>
  <c r="AH140" i="12" l="1"/>
  <c r="AI139" i="12"/>
  <c r="AL139" i="12"/>
  <c r="AG141" i="12"/>
  <c r="AH141" i="12" s="1"/>
  <c r="AF143" i="12"/>
  <c r="AG142" i="12"/>
  <c r="AL141" i="12" l="1"/>
  <c r="AI141" i="12"/>
  <c r="AH142" i="12"/>
  <c r="AI140" i="12"/>
  <c r="AL140" i="12"/>
  <c r="AG143" i="12"/>
  <c r="AF144" i="12"/>
  <c r="AH143" i="12" l="1"/>
  <c r="AG144" i="12"/>
  <c r="AI142" i="12"/>
  <c r="AL142" i="12"/>
  <c r="AF145" i="12"/>
  <c r="AH144" i="12" l="1"/>
  <c r="AI143" i="12"/>
  <c r="AL143" i="12"/>
  <c r="AG145" i="12"/>
  <c r="AF146" i="12"/>
  <c r="AI144" i="12" l="1"/>
  <c r="AL144" i="12"/>
  <c r="AG146" i="12"/>
  <c r="AH146" i="12" s="1"/>
  <c r="AF147" i="12"/>
  <c r="AH145" i="12"/>
  <c r="AI146" i="12" l="1"/>
  <c r="AL146" i="12"/>
  <c r="AG147" i="12"/>
  <c r="AF148" i="12"/>
  <c r="AI145" i="12"/>
  <c r="AL145" i="12"/>
  <c r="AH147" i="12" l="1"/>
  <c r="AG148" i="12"/>
  <c r="AH148" i="12" s="1"/>
  <c r="AF149" i="12"/>
  <c r="AI147" i="12" l="1"/>
  <c r="AL147" i="12"/>
  <c r="AG149" i="12"/>
  <c r="AH149" i="12" s="1"/>
  <c r="AF150" i="12"/>
  <c r="AI148" i="12"/>
  <c r="AL148" i="12"/>
  <c r="AF151" i="12" l="1"/>
  <c r="AG150" i="12"/>
  <c r="AH150" i="12" s="1"/>
  <c r="AI149" i="12"/>
  <c r="AL149" i="12"/>
  <c r="AG151" i="12" l="1"/>
  <c r="AF152" i="12"/>
  <c r="AI150" i="12"/>
  <c r="AL150" i="12"/>
  <c r="AH151" i="12" l="1"/>
  <c r="AG152" i="12"/>
  <c r="AH152" i="12" s="1"/>
  <c r="AF153" i="12"/>
  <c r="AG153" i="12" s="1"/>
  <c r="AH153" i="12" s="1"/>
  <c r="AI151" i="12" l="1"/>
  <c r="AL151" i="12"/>
  <c r="AL152" i="12"/>
  <c r="AI152" i="12"/>
  <c r="AF154" i="12"/>
  <c r="AI153" i="12"/>
  <c r="AL153" i="12"/>
  <c r="AG154" i="12" l="1"/>
  <c r="AH154" i="12" s="1"/>
  <c r="AF155" i="12"/>
  <c r="AI154" i="12" l="1"/>
  <c r="AL154" i="12"/>
  <c r="AG155" i="12"/>
  <c r="AH155" i="12" s="1"/>
  <c r="AF156" i="12"/>
  <c r="AF157" i="12" s="1"/>
  <c r="AG157" i="12" s="1"/>
  <c r="AL155" i="12" l="1"/>
  <c r="AI155" i="12"/>
  <c r="AG156" i="12"/>
  <c r="AF158" i="12"/>
  <c r="AH157" i="12"/>
  <c r="AH156" i="12" l="1"/>
  <c r="AG158" i="12"/>
  <c r="AH158" i="12" s="1"/>
  <c r="AF159" i="12"/>
  <c r="AI157" i="12"/>
  <c r="AL157" i="12"/>
  <c r="AI156" i="12" l="1"/>
  <c r="AL156" i="12"/>
  <c r="AG159" i="12"/>
  <c r="AH159" i="12" s="1"/>
  <c r="AF160" i="12"/>
  <c r="AI158" i="12"/>
  <c r="AL158" i="12"/>
  <c r="AG160" i="12" l="1"/>
  <c r="AH160" i="12" s="1"/>
  <c r="AF161" i="12"/>
  <c r="AI159" i="12"/>
  <c r="AL159" i="12"/>
  <c r="AF162" i="12" l="1"/>
  <c r="AG161" i="12"/>
  <c r="AH161" i="12" s="1"/>
  <c r="AI160" i="12"/>
  <c r="AL160" i="12"/>
  <c r="AG162" i="12" l="1"/>
  <c r="AH162" i="12" s="1"/>
  <c r="AF163" i="12"/>
  <c r="AI161" i="12"/>
  <c r="AL161" i="12"/>
  <c r="AF164" i="12" l="1"/>
  <c r="AG163" i="12"/>
  <c r="AH163" i="12" s="1"/>
  <c r="AI162" i="12"/>
  <c r="AL162" i="12"/>
  <c r="AG164" i="12" l="1"/>
  <c r="AH164" i="12" s="1"/>
  <c r="AF165" i="12"/>
  <c r="AI163" i="12"/>
  <c r="AL163" i="12"/>
  <c r="AG165" i="12" l="1"/>
  <c r="AH165" i="12" s="1"/>
  <c r="AF166" i="12"/>
  <c r="AI164" i="12"/>
  <c r="AL164" i="12"/>
  <c r="AG166" i="12" l="1"/>
  <c r="AH166" i="12" s="1"/>
  <c r="AF167" i="12"/>
  <c r="AI165" i="12"/>
  <c r="AL165" i="12"/>
  <c r="AG167" i="12" l="1"/>
  <c r="AH167" i="12" s="1"/>
  <c r="AF168" i="12"/>
  <c r="AI166" i="12"/>
  <c r="AL166" i="12"/>
  <c r="AF169" i="12" l="1"/>
  <c r="AG168" i="12"/>
  <c r="AH168" i="12" s="1"/>
  <c r="AI167" i="12"/>
  <c r="AL167" i="12"/>
  <c r="AG169" i="12" l="1"/>
  <c r="AH169" i="12" s="1"/>
  <c r="AF170" i="12"/>
  <c r="AI168" i="12"/>
  <c r="AL168" i="12"/>
  <c r="AG170" i="12" l="1"/>
  <c r="AH170" i="12" s="1"/>
  <c r="AF171" i="12"/>
  <c r="AI169" i="12"/>
  <c r="AL169" i="12"/>
  <c r="AG171" i="12" l="1"/>
  <c r="AH171" i="12" s="1"/>
  <c r="AF172" i="12"/>
  <c r="AI170" i="12"/>
  <c r="AL170" i="12"/>
  <c r="AG172" i="12" l="1"/>
  <c r="AH172" i="12" s="1"/>
  <c r="AF173" i="12"/>
  <c r="AI171" i="12"/>
  <c r="AL171" i="12"/>
  <c r="AF174" i="12" l="1"/>
  <c r="AG173" i="12"/>
  <c r="AH173" i="12" s="1"/>
  <c r="AI172" i="12"/>
  <c r="AL172" i="12"/>
  <c r="AF175" i="12" l="1"/>
  <c r="AG174" i="12"/>
  <c r="AH174" i="12" s="1"/>
  <c r="AI173" i="12"/>
  <c r="AL173" i="12"/>
  <c r="AF176" i="12" l="1"/>
  <c r="AG175" i="12"/>
  <c r="AH175" i="12" s="1"/>
  <c r="AI174" i="12"/>
  <c r="AL174" i="12"/>
  <c r="AF177" i="12" l="1"/>
  <c r="AG176" i="12"/>
  <c r="AH176" i="12" s="1"/>
  <c r="AI175" i="12"/>
  <c r="AL175" i="12"/>
  <c r="AG177" i="12" l="1"/>
  <c r="AH177" i="12" s="1"/>
  <c r="AF178" i="12"/>
  <c r="AI176" i="12"/>
  <c r="AL176" i="12"/>
  <c r="AG178" i="12" l="1"/>
  <c r="AH178" i="12" s="1"/>
  <c r="AF179" i="12"/>
  <c r="AI177" i="12"/>
  <c r="AL177" i="12"/>
  <c r="AF180" i="12" l="1"/>
  <c r="AG179" i="12"/>
  <c r="AH179" i="12" s="1"/>
  <c r="AI178" i="12"/>
  <c r="AL178" i="12"/>
  <c r="AG180" i="12" l="1"/>
  <c r="AH180" i="12" s="1"/>
  <c r="AF181" i="12"/>
  <c r="AI179" i="12"/>
  <c r="AL179" i="12"/>
  <c r="AG181" i="12" l="1"/>
  <c r="AH181" i="12" s="1"/>
  <c r="AF182" i="12"/>
  <c r="AI180" i="12"/>
  <c r="AL180" i="12"/>
  <c r="AF183" i="12" l="1"/>
  <c r="AG182" i="12"/>
  <c r="AH182" i="12" s="1"/>
  <c r="AI181" i="12"/>
  <c r="AL181" i="12"/>
  <c r="AG183" i="12" l="1"/>
  <c r="AH183" i="12" s="1"/>
  <c r="AF184" i="12"/>
  <c r="AI182" i="12"/>
  <c r="AL182" i="12"/>
  <c r="AF185" i="12" l="1"/>
  <c r="AG184" i="12"/>
  <c r="AH184" i="12" s="1"/>
  <c r="AI183" i="12"/>
  <c r="AL183" i="12"/>
  <c r="AG185" i="12" l="1"/>
  <c r="AH185" i="12" s="1"/>
  <c r="AF186" i="12"/>
  <c r="AI184" i="12"/>
  <c r="AL184" i="12"/>
  <c r="AG186" i="12" l="1"/>
  <c r="AH186" i="12" s="1"/>
  <c r="AF187" i="12"/>
  <c r="AI185" i="12"/>
  <c r="AL185" i="12"/>
  <c r="AG187" i="12" l="1"/>
  <c r="AH187" i="12" s="1"/>
  <c r="AF188" i="12"/>
  <c r="AI186" i="12"/>
  <c r="AL186" i="12"/>
  <c r="AF189" i="12" l="1"/>
  <c r="AG188" i="12"/>
  <c r="AH188" i="12" s="1"/>
  <c r="AI187" i="12"/>
  <c r="AL187" i="12"/>
  <c r="AG189" i="12" l="1"/>
  <c r="AH189" i="12" s="1"/>
  <c r="AF190" i="12"/>
  <c r="AI188" i="12"/>
  <c r="AL188" i="12"/>
  <c r="AG190" i="12" l="1"/>
  <c r="AH190" i="12" s="1"/>
  <c r="AF191" i="12"/>
  <c r="AI189" i="12"/>
  <c r="AL189" i="12"/>
  <c r="AF192" i="12" l="1"/>
  <c r="AG191" i="12"/>
  <c r="AH191" i="12" s="1"/>
  <c r="AI190" i="12"/>
  <c r="AL190" i="12"/>
  <c r="AF193" i="12" l="1"/>
  <c r="AG192" i="12"/>
  <c r="AH192" i="12" s="1"/>
  <c r="AI191" i="12"/>
  <c r="AL191" i="12"/>
  <c r="AG193" i="12" l="1"/>
  <c r="AH193" i="12" s="1"/>
  <c r="AF194" i="12"/>
  <c r="AI192" i="12"/>
  <c r="AL192" i="12"/>
  <c r="AG194" i="12" l="1"/>
  <c r="AH194" i="12" s="1"/>
  <c r="AF195" i="12"/>
  <c r="AI193" i="12"/>
  <c r="AL193" i="12"/>
  <c r="AG195" i="12" l="1"/>
  <c r="AH195" i="12" s="1"/>
  <c r="AF196" i="12"/>
  <c r="AI194" i="12"/>
  <c r="AL194" i="12"/>
  <c r="AG196" i="12" l="1"/>
  <c r="AH196" i="12" s="1"/>
  <c r="AF197" i="12"/>
  <c r="AI195" i="12"/>
  <c r="AL195" i="12"/>
  <c r="AG197" i="12" l="1"/>
  <c r="AH197" i="12" s="1"/>
  <c r="AF198" i="12"/>
  <c r="AI196" i="12"/>
  <c r="AL196" i="12"/>
  <c r="AG198" i="12" l="1"/>
  <c r="AH198" i="12" s="1"/>
  <c r="AF199" i="12"/>
  <c r="AI197" i="12"/>
  <c r="AL197" i="12"/>
  <c r="AG199" i="12" l="1"/>
  <c r="AH199" i="12" s="1"/>
  <c r="AF200" i="12"/>
  <c r="AI198" i="12"/>
  <c r="AL198" i="12"/>
  <c r="AG200" i="12" l="1"/>
  <c r="AH200" i="12" s="1"/>
  <c r="AF201" i="12"/>
  <c r="AI199" i="12"/>
  <c r="AL199" i="12"/>
  <c r="AF202" i="12" l="1"/>
  <c r="AG201" i="12"/>
  <c r="AH201" i="12" s="1"/>
  <c r="AI200" i="12"/>
  <c r="AL200" i="12"/>
  <c r="AG202" i="12" l="1"/>
  <c r="AH202" i="12" s="1"/>
  <c r="AF203" i="12"/>
  <c r="AI201" i="12"/>
  <c r="AL201" i="12"/>
  <c r="AG203" i="12" l="1"/>
  <c r="AH203" i="12" s="1"/>
  <c r="AF204" i="12"/>
  <c r="AI202" i="12"/>
  <c r="AL202" i="12"/>
  <c r="AF205" i="12" l="1"/>
  <c r="AG204" i="12"/>
  <c r="AH204" i="12" s="1"/>
  <c r="AI203" i="12"/>
  <c r="AL203" i="12"/>
  <c r="AF206" i="12" l="1"/>
  <c r="AG205" i="12"/>
  <c r="AH205" i="12" s="1"/>
  <c r="AI204" i="12"/>
  <c r="AL204" i="12"/>
  <c r="AF207" i="12" l="1"/>
  <c r="AG206" i="12"/>
  <c r="AH206" i="12" s="1"/>
  <c r="AI205" i="12"/>
  <c r="AL205" i="12"/>
  <c r="AF208" i="12" l="1"/>
  <c r="AG207" i="12"/>
  <c r="AH207" i="12" s="1"/>
  <c r="AI206" i="12"/>
  <c r="AL206" i="12"/>
  <c r="AF209" i="12" l="1"/>
  <c r="AG208" i="12"/>
  <c r="AH208" i="12" s="1"/>
  <c r="AI207" i="12"/>
  <c r="AL207" i="12"/>
  <c r="AF210" i="12" l="1"/>
  <c r="AG209" i="12"/>
  <c r="AH209" i="12" s="1"/>
  <c r="AI208" i="12"/>
  <c r="AL208" i="12"/>
  <c r="AF211" i="12" l="1"/>
  <c r="AG210" i="12"/>
  <c r="AH210" i="12" s="1"/>
  <c r="AI209" i="12"/>
  <c r="AL209" i="12"/>
  <c r="AG211" i="12" l="1"/>
  <c r="AH211" i="12" s="1"/>
  <c r="AF212" i="12"/>
  <c r="AI210" i="12"/>
  <c r="AL210" i="12"/>
  <c r="AF213" i="12" l="1"/>
  <c r="AG212" i="12"/>
  <c r="AH212" i="12" s="1"/>
  <c r="AI211" i="12"/>
  <c r="AL211" i="12"/>
  <c r="AF214" i="12" l="1"/>
  <c r="AG213" i="12"/>
  <c r="AH213" i="12" s="1"/>
  <c r="AI212" i="12"/>
  <c r="AL212" i="12"/>
  <c r="AF215" i="12" l="1"/>
  <c r="AG214" i="12"/>
  <c r="AH214" i="12" s="1"/>
  <c r="AI213" i="12"/>
  <c r="AL213" i="12"/>
  <c r="AF216" i="12" l="1"/>
  <c r="AG215" i="12"/>
  <c r="AH215" i="12" s="1"/>
  <c r="AI214" i="12"/>
  <c r="AL214" i="12"/>
  <c r="AF217" i="12" l="1"/>
  <c r="AG216" i="12"/>
  <c r="AH216" i="12" s="1"/>
  <c r="AI215" i="12"/>
  <c r="AL215" i="12"/>
  <c r="AF218" i="12" l="1"/>
  <c r="AG217" i="12"/>
  <c r="AH217" i="12" s="1"/>
  <c r="AI216" i="12"/>
  <c r="AL216" i="12"/>
  <c r="AG218" i="12" l="1"/>
  <c r="AH218" i="12" s="1"/>
  <c r="AF219" i="12"/>
  <c r="AI217" i="12"/>
  <c r="AL217" i="12"/>
  <c r="AF220" i="12" l="1"/>
  <c r="AG219" i="12"/>
  <c r="AH219" i="12" s="1"/>
  <c r="AI218" i="12"/>
  <c r="AL218" i="12"/>
  <c r="AG220" i="12" l="1"/>
  <c r="AH220" i="12" s="1"/>
  <c r="AF221" i="12"/>
  <c r="AI219" i="12"/>
  <c r="AL219" i="12"/>
  <c r="AF222" i="12" l="1"/>
  <c r="AG221" i="12"/>
  <c r="AH221" i="12" s="1"/>
  <c r="AI220" i="12"/>
  <c r="AL220" i="12"/>
  <c r="AG222" i="12" l="1"/>
  <c r="AH222" i="12" s="1"/>
  <c r="AF223" i="12"/>
  <c r="AI221" i="12"/>
  <c r="AL221" i="12"/>
  <c r="AG223" i="12" l="1"/>
  <c r="AH223" i="12" s="1"/>
  <c r="AF224" i="12"/>
  <c r="AI222" i="12"/>
  <c r="AL222" i="12"/>
  <c r="AF225" i="12" l="1"/>
  <c r="AG224" i="12"/>
  <c r="AH224" i="12" s="1"/>
  <c r="AI223" i="12"/>
  <c r="AL223" i="12"/>
  <c r="AF226" i="12" l="1"/>
  <c r="AG225" i="12"/>
  <c r="AH225" i="12" s="1"/>
  <c r="AI224" i="12"/>
  <c r="AL224" i="12"/>
  <c r="AF227" i="12" l="1"/>
  <c r="AG226" i="12"/>
  <c r="AH226" i="12" s="1"/>
  <c r="AI225" i="12"/>
  <c r="AL225" i="12"/>
  <c r="AG227" i="12" l="1"/>
  <c r="AH227" i="12" s="1"/>
  <c r="AF228" i="12"/>
  <c r="AI226" i="12"/>
  <c r="AL226" i="12"/>
  <c r="AG228" i="12" l="1"/>
  <c r="AH228" i="12" s="1"/>
  <c r="AF229" i="12"/>
  <c r="AI227" i="12"/>
  <c r="AL227" i="12"/>
  <c r="AF230" i="12" l="1"/>
  <c r="AG229" i="12"/>
  <c r="AH229" i="12" s="1"/>
  <c r="AI228" i="12"/>
  <c r="AL228" i="12"/>
  <c r="AG230" i="12" l="1"/>
  <c r="AH230" i="12" s="1"/>
  <c r="AF231" i="12"/>
  <c r="AI229" i="12"/>
  <c r="AL229" i="12"/>
  <c r="AG231" i="12" l="1"/>
  <c r="AH231" i="12" s="1"/>
  <c r="AF232" i="12"/>
  <c r="AI230" i="12"/>
  <c r="AL230" i="12"/>
  <c r="AG232" i="12" l="1"/>
  <c r="AH232" i="12" s="1"/>
  <c r="AF233" i="12"/>
  <c r="AI231" i="12"/>
  <c r="AL231" i="12"/>
  <c r="AG233" i="12" l="1"/>
  <c r="AH233" i="12" s="1"/>
  <c r="AF234" i="12"/>
  <c r="AI232" i="12"/>
  <c r="AL232" i="12"/>
  <c r="AG234" i="12" l="1"/>
  <c r="AH234" i="12" s="1"/>
  <c r="AF235" i="12"/>
  <c r="AI233" i="12"/>
  <c r="AL233" i="12"/>
  <c r="AF236" i="12" l="1"/>
  <c r="AG235" i="12"/>
  <c r="AH235" i="12" s="1"/>
  <c r="AI234" i="12"/>
  <c r="AL234" i="12"/>
  <c r="AG236" i="12" l="1"/>
  <c r="AH236" i="12" s="1"/>
  <c r="AF237" i="12"/>
  <c r="AI235" i="12"/>
  <c r="AL235" i="12"/>
  <c r="AF238" i="12" l="1"/>
  <c r="AG237" i="12"/>
  <c r="AH237" i="12" s="1"/>
  <c r="AI236" i="12"/>
  <c r="AL236" i="12"/>
  <c r="AF239" i="12" l="1"/>
  <c r="AG238" i="12"/>
  <c r="AH238" i="12" s="1"/>
  <c r="AI237" i="12"/>
  <c r="AL237" i="12"/>
  <c r="AG239" i="12" l="1"/>
  <c r="AH239" i="12" s="1"/>
  <c r="AF240" i="12"/>
  <c r="AI238" i="12"/>
  <c r="AL238" i="12"/>
  <c r="AF241" i="12" l="1"/>
  <c r="AG240" i="12"/>
  <c r="AH240" i="12" s="1"/>
  <c r="AI239" i="12"/>
  <c r="AL239" i="12"/>
  <c r="AG241" i="12" l="1"/>
  <c r="AH241" i="12" s="1"/>
  <c r="AF242" i="12"/>
  <c r="AI240" i="12"/>
  <c r="AL240" i="12"/>
  <c r="AG242" i="12" l="1"/>
  <c r="AH242" i="12" s="1"/>
  <c r="AF243" i="12"/>
  <c r="AI241" i="12"/>
  <c r="AL241" i="12"/>
  <c r="AG243" i="12" l="1"/>
  <c r="AH243" i="12" s="1"/>
  <c r="AF244" i="12"/>
  <c r="AI242" i="12"/>
  <c r="AL242" i="12"/>
  <c r="AG244" i="12" l="1"/>
  <c r="AH244" i="12" s="1"/>
  <c r="AF245" i="12"/>
  <c r="AI243" i="12"/>
  <c r="AL243" i="12"/>
  <c r="AF123" i="12" l="1"/>
  <c r="E109" i="12" s="1"/>
  <c r="AG245" i="12"/>
  <c r="AI244" i="12"/>
  <c r="AL244" i="12"/>
  <c r="AG123" i="12" l="1"/>
  <c r="AH245" i="12"/>
  <c r="AI245" i="12" s="1"/>
  <c r="AI123" i="12" s="1"/>
  <c r="AH123" i="12" l="1"/>
  <c r="E110" i="12" s="1"/>
  <c r="AL245" i="12"/>
  <c r="AL123" i="12" l="1"/>
  <c r="Q7" i="12"/>
  <c r="BF126" i="12" s="1"/>
  <c r="BG126" i="12" s="1"/>
  <c r="BH126" i="12" s="1"/>
  <c r="BE127" i="12" s="1"/>
  <c r="AM127" i="12" l="1"/>
  <c r="AO127" i="12" s="1"/>
  <c r="BF127" i="12"/>
  <c r="BG127" i="12" s="1"/>
  <c r="BH127" i="12" s="1"/>
  <c r="BE128" i="12" s="1"/>
  <c r="BF128" i="12" l="1"/>
  <c r="BG128" i="12" s="1"/>
  <c r="AM128" i="12"/>
  <c r="AO128" i="12" s="1"/>
  <c r="AQ127" i="12"/>
  <c r="AP127" i="12"/>
  <c r="AS127" i="12" l="1"/>
  <c r="AY127" i="12"/>
  <c r="BH128" i="12"/>
  <c r="BE129" i="12" s="1"/>
  <c r="AP128" i="12"/>
  <c r="AQ128" i="12"/>
  <c r="AT127" i="12" l="1"/>
  <c r="AV127" i="12"/>
  <c r="AW127" i="12" s="1"/>
  <c r="AX127" i="12" s="1"/>
  <c r="AS128" i="12"/>
  <c r="AY128" i="12"/>
  <c r="AM129" i="12"/>
  <c r="BF129" i="12"/>
  <c r="AT128" i="12" l="1"/>
  <c r="AO129" i="12"/>
  <c r="BG129" i="12"/>
  <c r="AQ129" i="12" l="1"/>
  <c r="AP129" i="12"/>
  <c r="BH129" i="12"/>
  <c r="BE130" i="12" s="1"/>
  <c r="AV128" i="12" l="1"/>
  <c r="AY129" i="12"/>
  <c r="AS129" i="12"/>
  <c r="BF130" i="12"/>
  <c r="BG130" i="12" s="1"/>
  <c r="BH130" i="12" s="1"/>
  <c r="BE131" i="12" s="1"/>
  <c r="AM130" i="12"/>
  <c r="AW128" i="12" l="1"/>
  <c r="AX128" i="12" s="1"/>
  <c r="AT129" i="12"/>
  <c r="AM131" i="12"/>
  <c r="AO131" i="12" s="1"/>
  <c r="BF131" i="12"/>
  <c r="BG131" i="12" s="1"/>
  <c r="BH131" i="12" s="1"/>
  <c r="BE132" i="12" s="1"/>
  <c r="AO130" i="12"/>
  <c r="AM132" i="12" l="1"/>
  <c r="AO132" i="12" s="1"/>
  <c r="BF132" i="12"/>
  <c r="BG132" i="12" s="1"/>
  <c r="BH132" i="12" s="1"/>
  <c r="BE133" i="12" s="1"/>
  <c r="AP131" i="12"/>
  <c r="AQ130" i="12"/>
  <c r="AQ131" i="12" s="1"/>
  <c r="AP130" i="12"/>
  <c r="AV129" i="12" l="1"/>
  <c r="AP132" i="12"/>
  <c r="AQ132" i="12"/>
  <c r="AS130" i="12"/>
  <c r="AY130" i="12"/>
  <c r="BF133" i="12"/>
  <c r="BG133" i="12" s="1"/>
  <c r="BH133" i="12" s="1"/>
  <c r="BE134" i="12" s="1"/>
  <c r="AM133" i="12"/>
  <c r="AO133" i="12" s="1"/>
  <c r="AW129" i="12" l="1"/>
  <c r="AX129" i="12" s="1"/>
  <c r="AT130" i="12"/>
  <c r="AP133" i="12"/>
  <c r="AM134" i="12"/>
  <c r="AO134" i="12" s="1"/>
  <c r="BF134" i="12"/>
  <c r="BG134" i="12" s="1"/>
  <c r="BH134" i="12" s="1"/>
  <c r="BE135" i="12" s="1"/>
  <c r="AQ133" i="12"/>
  <c r="AS132" i="12"/>
  <c r="AY132" i="12"/>
  <c r="AP134" i="12" l="1"/>
  <c r="AV132" i="12"/>
  <c r="AY133" i="12"/>
  <c r="AS133" i="12"/>
  <c r="AQ134" i="12"/>
  <c r="AM135" i="12"/>
  <c r="AO135" i="12" s="1"/>
  <c r="BF135" i="12"/>
  <c r="BG135" i="12" s="1"/>
  <c r="BH135" i="12" s="1"/>
  <c r="BE136" i="12" s="1"/>
  <c r="AV130" i="12" l="1"/>
  <c r="AV133" i="12"/>
  <c r="AP135" i="12"/>
  <c r="AS134" i="12"/>
  <c r="AY134" i="12"/>
  <c r="AQ135" i="12"/>
  <c r="AM136" i="12"/>
  <c r="AO136" i="12" s="1"/>
  <c r="BF136" i="12"/>
  <c r="BG136" i="12" s="1"/>
  <c r="BH136" i="12" s="1"/>
  <c r="BE137" i="12" s="1"/>
  <c r="AY135" i="12" l="1"/>
  <c r="AS135" i="12"/>
  <c r="AW130" i="12"/>
  <c r="AX130" i="12" s="1"/>
  <c r="AV134" i="12"/>
  <c r="AP136" i="12"/>
  <c r="AQ136" i="12"/>
  <c r="BF137" i="12"/>
  <c r="BG137" i="12" s="1"/>
  <c r="BH137" i="12" s="1"/>
  <c r="BE138" i="12" s="1"/>
  <c r="AM137" i="12"/>
  <c r="AO137" i="12" s="1"/>
  <c r="AV135" i="12" l="1"/>
  <c r="AP137" i="12"/>
  <c r="AY136" i="12"/>
  <c r="AS136" i="12"/>
  <c r="AQ137" i="12"/>
  <c r="AM138" i="12"/>
  <c r="AO138" i="12" s="1"/>
  <c r="BF138" i="12"/>
  <c r="BG138" i="12" s="1"/>
  <c r="BH138" i="12" s="1"/>
  <c r="BE139" i="12" s="1"/>
  <c r="AV136" i="12" l="1"/>
  <c r="AP138" i="12"/>
  <c r="AQ138" i="12"/>
  <c r="BF139" i="12"/>
  <c r="BG139" i="12" s="1"/>
  <c r="BH139" i="12" s="1"/>
  <c r="BE140" i="12" s="1"/>
  <c r="AM139" i="12"/>
  <c r="AO139" i="12" s="1"/>
  <c r="AS138" i="12" l="1"/>
  <c r="AY138" i="12"/>
  <c r="AP139" i="12"/>
  <c r="AQ139" i="12"/>
  <c r="AM140" i="12"/>
  <c r="AO140" i="12" s="1"/>
  <c r="BF140" i="12"/>
  <c r="BG140" i="12" s="1"/>
  <c r="BH140" i="12" s="1"/>
  <c r="BE141" i="12" s="1"/>
  <c r="AV138" i="12" l="1"/>
  <c r="AS139" i="12"/>
  <c r="AY139" i="12"/>
  <c r="AP140" i="12"/>
  <c r="AQ140" i="12"/>
  <c r="AM141" i="12"/>
  <c r="AO141" i="12" s="1"/>
  <c r="BF141" i="12"/>
  <c r="BG141" i="12" s="1"/>
  <c r="BH141" i="12" s="1"/>
  <c r="BE142" i="12" s="1"/>
  <c r="AV139" i="12" l="1"/>
  <c r="AS140" i="12"/>
  <c r="AY140" i="12"/>
  <c r="AP141" i="12"/>
  <c r="AQ141" i="12"/>
  <c r="AM142" i="12"/>
  <c r="AO142" i="12" s="1"/>
  <c r="BF142" i="12"/>
  <c r="BG142" i="12" s="1"/>
  <c r="BH142" i="12" s="1"/>
  <c r="BE143" i="12" s="1"/>
  <c r="AV140" i="12" l="1"/>
  <c r="AS141" i="12"/>
  <c r="AY141" i="12"/>
  <c r="AP142" i="12"/>
  <c r="AQ142" i="12"/>
  <c r="AM143" i="12"/>
  <c r="AO143" i="12" s="1"/>
  <c r="BF143" i="12"/>
  <c r="BG143" i="12" s="1"/>
  <c r="BH143" i="12" s="1"/>
  <c r="BE144" i="12" s="1"/>
  <c r="AV141" i="12" l="1"/>
  <c r="AS142" i="12"/>
  <c r="AY142" i="12"/>
  <c r="AP143" i="12"/>
  <c r="AQ143" i="12"/>
  <c r="AM144" i="12"/>
  <c r="AO144" i="12" s="1"/>
  <c r="BF144" i="12"/>
  <c r="BG144" i="12" s="1"/>
  <c r="BH144" i="12" s="1"/>
  <c r="BE145" i="12" s="1"/>
  <c r="AV142" i="12" l="1"/>
  <c r="AS143" i="12"/>
  <c r="AY143" i="12"/>
  <c r="AP144" i="12"/>
  <c r="AM145" i="12"/>
  <c r="AO145" i="12" s="1"/>
  <c r="BF145" i="12"/>
  <c r="BG145" i="12" s="1"/>
  <c r="BH145" i="12" s="1"/>
  <c r="BE146" i="12" s="1"/>
  <c r="AQ144" i="12"/>
  <c r="AV143" i="12" l="1"/>
  <c r="AS144" i="12"/>
  <c r="AY144" i="12"/>
  <c r="AP145" i="12"/>
  <c r="BF146" i="12"/>
  <c r="BG146" i="12" s="1"/>
  <c r="BH146" i="12" s="1"/>
  <c r="BE147" i="12" s="1"/>
  <c r="AM146" i="12"/>
  <c r="AO146" i="12" s="1"/>
  <c r="AQ145" i="12"/>
  <c r="AV144" i="12" l="1"/>
  <c r="AS145" i="12"/>
  <c r="AY145" i="12"/>
  <c r="AP146" i="12"/>
  <c r="AM147" i="12"/>
  <c r="AO147" i="12" s="1"/>
  <c r="BF147" i="12"/>
  <c r="BG147" i="12" s="1"/>
  <c r="BH147" i="12" s="1"/>
  <c r="BE148" i="12" s="1"/>
  <c r="AQ146" i="12"/>
  <c r="AV145" i="12" l="1"/>
  <c r="AS146" i="12"/>
  <c r="AY146" i="12"/>
  <c r="AP147" i="12"/>
  <c r="AQ147" i="12"/>
  <c r="BF148" i="12"/>
  <c r="BG148" i="12" s="1"/>
  <c r="BH148" i="12" s="1"/>
  <c r="BE149" i="12" s="1"/>
  <c r="AM148" i="12"/>
  <c r="AO148" i="12" s="1"/>
  <c r="AV146" i="12" l="1"/>
  <c r="AP148" i="12"/>
  <c r="AM149" i="12"/>
  <c r="AO149" i="12" s="1"/>
  <c r="BF149" i="12"/>
  <c r="BG149" i="12" s="1"/>
  <c r="BH149" i="12" s="1"/>
  <c r="BE150" i="12" s="1"/>
  <c r="AQ148" i="12"/>
  <c r="AS148" i="12" l="1"/>
  <c r="AY148" i="12"/>
  <c r="AP149" i="12"/>
  <c r="AQ149" i="12"/>
  <c r="AM150" i="12"/>
  <c r="AO150" i="12" s="1"/>
  <c r="BF150" i="12"/>
  <c r="BG150" i="12" s="1"/>
  <c r="BH150" i="12" s="1"/>
  <c r="BE151" i="12" s="1"/>
  <c r="AV148" i="12" l="1"/>
  <c r="AS149" i="12"/>
  <c r="AY149" i="12"/>
  <c r="AP150" i="12"/>
  <c r="AQ150" i="12"/>
  <c r="BF151" i="12"/>
  <c r="BG151" i="12" s="1"/>
  <c r="BH151" i="12" s="1"/>
  <c r="BE152" i="12" s="1"/>
  <c r="AM151" i="12"/>
  <c r="AO151" i="12" s="1"/>
  <c r="AV149" i="12" l="1"/>
  <c r="AS150" i="12"/>
  <c r="AY150" i="12"/>
  <c r="AQ151" i="12"/>
  <c r="AP151" i="12"/>
  <c r="AM152" i="12"/>
  <c r="AO152" i="12" s="1"/>
  <c r="BF152" i="12"/>
  <c r="BG152" i="12" s="1"/>
  <c r="BH152" i="12" s="1"/>
  <c r="BE153" i="12" s="1"/>
  <c r="AV150" i="12" l="1"/>
  <c r="AS151" i="12"/>
  <c r="AY151" i="12"/>
  <c r="AP152" i="12"/>
  <c r="AQ152" i="12"/>
  <c r="BF153" i="12"/>
  <c r="BG153" i="12" s="1"/>
  <c r="BH153" i="12" s="1"/>
  <c r="BE154" i="12" s="1"/>
  <c r="AM153" i="12"/>
  <c r="AO153" i="12" s="1"/>
  <c r="AV151" i="12" l="1"/>
  <c r="AS152" i="12"/>
  <c r="AY152" i="12"/>
  <c r="AP153" i="12"/>
  <c r="AQ153" i="12"/>
  <c r="AM154" i="12"/>
  <c r="AO154" i="12" s="1"/>
  <c r="BF154" i="12"/>
  <c r="BG154" i="12" s="1"/>
  <c r="BH154" i="12" s="1"/>
  <c r="BE155" i="12" s="1"/>
  <c r="AV152" i="12" l="1"/>
  <c r="AS153" i="12"/>
  <c r="AY153" i="12"/>
  <c r="AP154" i="12"/>
  <c r="AQ154" i="12"/>
  <c r="AM155" i="12"/>
  <c r="AO155" i="12" s="1"/>
  <c r="BF155" i="12"/>
  <c r="BG155" i="12" s="1"/>
  <c r="BH155" i="12" s="1"/>
  <c r="BE156" i="12" s="1"/>
  <c r="AV153" i="12" l="1"/>
  <c r="AS154" i="12"/>
  <c r="AY154" i="12"/>
  <c r="AP155" i="12"/>
  <c r="AQ155" i="12"/>
  <c r="BF156" i="12"/>
  <c r="BG156" i="12" s="1"/>
  <c r="BH156" i="12" s="1"/>
  <c r="BE157" i="12" s="1"/>
  <c r="AM156" i="12"/>
  <c r="AO156" i="12" s="1"/>
  <c r="AP156" i="12" s="1"/>
  <c r="AV154" i="12" l="1"/>
  <c r="AQ156" i="12"/>
  <c r="AM157" i="12"/>
  <c r="AO157" i="12" s="1"/>
  <c r="BF157" i="12"/>
  <c r="BG157" i="12" s="1"/>
  <c r="BH157" i="12" s="1"/>
  <c r="BE158" i="12" s="1"/>
  <c r="AS156" i="12" l="1"/>
  <c r="AY156" i="12"/>
  <c r="AP157" i="12"/>
  <c r="AQ157" i="12"/>
  <c r="BF158" i="12"/>
  <c r="BG158" i="12" s="1"/>
  <c r="BH158" i="12" s="1"/>
  <c r="BE159" i="12" s="1"/>
  <c r="AM158" i="12"/>
  <c r="AO158" i="12" s="1"/>
  <c r="AV156" i="12" l="1"/>
  <c r="AS157" i="12"/>
  <c r="AY157" i="12"/>
  <c r="AP158" i="12"/>
  <c r="AQ158" i="12"/>
  <c r="BF159" i="12"/>
  <c r="BG159" i="12" s="1"/>
  <c r="BH159" i="12" s="1"/>
  <c r="BE160" i="12" s="1"/>
  <c r="AM159" i="12"/>
  <c r="AO159" i="12" s="1"/>
  <c r="AV157" i="12" l="1"/>
  <c r="AS158" i="12"/>
  <c r="AY158" i="12"/>
  <c r="AP159" i="12"/>
  <c r="AQ159" i="12"/>
  <c r="AM160" i="12"/>
  <c r="AO160" i="12" s="1"/>
  <c r="BF160" i="12"/>
  <c r="BG160" i="12" s="1"/>
  <c r="BH160" i="12" s="1"/>
  <c r="BE161" i="12" s="1"/>
  <c r="AV158" i="12" l="1"/>
  <c r="AP160" i="12"/>
  <c r="AQ160" i="12"/>
  <c r="BF161" i="12"/>
  <c r="BG161" i="12" s="1"/>
  <c r="BH161" i="12" s="1"/>
  <c r="BE162" i="12" s="1"/>
  <c r="AM161" i="12"/>
  <c r="AO161" i="12" s="1"/>
  <c r="AS160" i="12" l="1"/>
  <c r="AY160" i="12"/>
  <c r="AP161" i="12"/>
  <c r="AQ161" i="12"/>
  <c r="AM162" i="12"/>
  <c r="AO162" i="12" s="1"/>
  <c r="BF162" i="12"/>
  <c r="BG162" i="12" s="1"/>
  <c r="BH162" i="12" s="1"/>
  <c r="BE163" i="12" s="1"/>
  <c r="AV160" i="12" l="1"/>
  <c r="AP162" i="12"/>
  <c r="AQ162" i="12"/>
  <c r="AM163" i="12"/>
  <c r="AO163" i="12" s="1"/>
  <c r="BF163" i="12"/>
  <c r="BG163" i="12" s="1"/>
  <c r="BH163" i="12" s="1"/>
  <c r="BE164" i="12" s="1"/>
  <c r="AS162" i="12" l="1"/>
  <c r="AY162" i="12"/>
  <c r="AP163" i="12"/>
  <c r="AQ163" i="12"/>
  <c r="BF164" i="12"/>
  <c r="BG164" i="12" s="1"/>
  <c r="BH164" i="12" s="1"/>
  <c r="BE165" i="12" s="1"/>
  <c r="AM164" i="12"/>
  <c r="AO164" i="12" s="1"/>
  <c r="AV162" i="12" l="1"/>
  <c r="AS163" i="12"/>
  <c r="AY163" i="12"/>
  <c r="AP164" i="12"/>
  <c r="BF165" i="12"/>
  <c r="BG165" i="12" s="1"/>
  <c r="BH165" i="12" s="1"/>
  <c r="BE166" i="12" s="1"/>
  <c r="AM165" i="12"/>
  <c r="AO165" i="12" s="1"/>
  <c r="AQ164" i="12"/>
  <c r="AV163" i="12" l="1"/>
  <c r="AP165" i="12"/>
  <c r="AQ165" i="12"/>
  <c r="BF166" i="12"/>
  <c r="BG166" i="12" s="1"/>
  <c r="BH166" i="12" s="1"/>
  <c r="BE167" i="12" s="1"/>
  <c r="AM166" i="12"/>
  <c r="AO166" i="12" s="1"/>
  <c r="AP166" i="12" s="1"/>
  <c r="AS165" i="12" l="1"/>
  <c r="AY165" i="12"/>
  <c r="BF167" i="12"/>
  <c r="BG167" i="12" s="1"/>
  <c r="BH167" i="12" s="1"/>
  <c r="BE168" i="12" s="1"/>
  <c r="AM167" i="12"/>
  <c r="AO167" i="12" s="1"/>
  <c r="AQ166" i="12"/>
  <c r="AV165" i="12" l="1"/>
  <c r="AS166" i="12"/>
  <c r="AY166" i="12"/>
  <c r="AQ167" i="12"/>
  <c r="AP167" i="12"/>
  <c r="BF168" i="12"/>
  <c r="BG168" i="12" s="1"/>
  <c r="BH168" i="12" s="1"/>
  <c r="BE169" i="12" s="1"/>
  <c r="AM168" i="12"/>
  <c r="AO168" i="12" s="1"/>
  <c r="AV166" i="12" l="1"/>
  <c r="AP168" i="12"/>
  <c r="AQ168" i="12"/>
  <c r="AM169" i="12"/>
  <c r="AO169" i="12" s="1"/>
  <c r="BF169" i="12"/>
  <c r="BG169" i="12" s="1"/>
  <c r="BH169" i="12" s="1"/>
  <c r="BE170" i="12" s="1"/>
  <c r="AP169" i="12" l="1"/>
  <c r="AQ169" i="12"/>
  <c r="BF170" i="12"/>
  <c r="BG170" i="12" s="1"/>
  <c r="BH170" i="12" s="1"/>
  <c r="BE171" i="12" s="1"/>
  <c r="AM170" i="12"/>
  <c r="AO170" i="12" s="1"/>
  <c r="AS169" i="12" l="1"/>
  <c r="AY169" i="12"/>
  <c r="AP170" i="12"/>
  <c r="BF171" i="12"/>
  <c r="BG171" i="12" s="1"/>
  <c r="BH171" i="12" s="1"/>
  <c r="BE172" i="12" s="1"/>
  <c r="AM171" i="12"/>
  <c r="AO171" i="12" s="1"/>
  <c r="AQ170" i="12"/>
  <c r="AV169" i="12" l="1"/>
  <c r="AS170" i="12"/>
  <c r="AY170" i="12"/>
  <c r="AQ171" i="12"/>
  <c r="AP171" i="12"/>
  <c r="BF172" i="12"/>
  <c r="BG172" i="12" s="1"/>
  <c r="BH172" i="12" s="1"/>
  <c r="BE173" i="12" s="1"/>
  <c r="AM172" i="12"/>
  <c r="AO172" i="12" s="1"/>
  <c r="AV170" i="12" l="1"/>
  <c r="AS171" i="12"/>
  <c r="AY171" i="12"/>
  <c r="AP172" i="12"/>
  <c r="AQ172" i="12"/>
  <c r="AM173" i="12"/>
  <c r="AO173" i="12" s="1"/>
  <c r="BF173" i="12"/>
  <c r="BG173" i="12" s="1"/>
  <c r="BH173" i="12" s="1"/>
  <c r="BE174" i="12" s="1"/>
  <c r="AV171" i="12" l="1"/>
  <c r="AS172" i="12"/>
  <c r="AY172" i="12"/>
  <c r="AP173" i="12"/>
  <c r="AQ173" i="12"/>
  <c r="AM174" i="12"/>
  <c r="AO174" i="12" s="1"/>
  <c r="BF174" i="12"/>
  <c r="BG174" i="12" s="1"/>
  <c r="BH174" i="12" s="1"/>
  <c r="BE175" i="12" s="1"/>
  <c r="AV172" i="12" l="1"/>
  <c r="AP174" i="12"/>
  <c r="AQ174" i="12"/>
  <c r="AM175" i="12"/>
  <c r="AO175" i="12" s="1"/>
  <c r="BF175" i="12"/>
  <c r="BG175" i="12" s="1"/>
  <c r="BH175" i="12" s="1"/>
  <c r="BE176" i="12" s="1"/>
  <c r="AS174" i="12" l="1"/>
  <c r="AY174" i="12"/>
  <c r="AP175" i="12"/>
  <c r="AQ175" i="12"/>
  <c r="AM176" i="12"/>
  <c r="AO176" i="12" s="1"/>
  <c r="BF176" i="12"/>
  <c r="BG176" i="12" s="1"/>
  <c r="BH176" i="12" s="1"/>
  <c r="BE177" i="12" s="1"/>
  <c r="AV174" i="12" l="1"/>
  <c r="AS175" i="12"/>
  <c r="AY175" i="12"/>
  <c r="AP176" i="12"/>
  <c r="AQ176" i="12"/>
  <c r="AM177" i="12"/>
  <c r="AO177" i="12" s="1"/>
  <c r="BF177" i="12"/>
  <c r="BG177" i="12" s="1"/>
  <c r="BH177" i="12" s="1"/>
  <c r="BE178" i="12" s="1"/>
  <c r="AS176" i="12" l="1"/>
  <c r="AY176" i="12"/>
  <c r="AV175" i="12"/>
  <c r="AP177" i="12"/>
  <c r="AQ177" i="12"/>
  <c r="BF178" i="12"/>
  <c r="BG178" i="12" s="1"/>
  <c r="BH178" i="12" s="1"/>
  <c r="BE179" i="12" s="1"/>
  <c r="AM178" i="12"/>
  <c r="AO178" i="12" s="1"/>
  <c r="AV176" i="12" l="1"/>
  <c r="AS177" i="12"/>
  <c r="AY177" i="12"/>
  <c r="AP178" i="12"/>
  <c r="AM179" i="12"/>
  <c r="AO179" i="12" s="1"/>
  <c r="BF179" i="12"/>
  <c r="BG179" i="12" s="1"/>
  <c r="BH179" i="12" s="1"/>
  <c r="BE180" i="12" s="1"/>
  <c r="AQ178" i="12"/>
  <c r="AV177" i="12" l="1"/>
  <c r="AS178" i="12"/>
  <c r="AY178" i="12"/>
  <c r="AP179" i="12"/>
  <c r="AQ179" i="12"/>
  <c r="AM180" i="12"/>
  <c r="AO180" i="12" s="1"/>
  <c r="BF180" i="12"/>
  <c r="BG180" i="12" s="1"/>
  <c r="BH180" i="12" s="1"/>
  <c r="BE181" i="12" s="1"/>
  <c r="AS179" i="12" l="1"/>
  <c r="AY179" i="12"/>
  <c r="AV178" i="12"/>
  <c r="AP180" i="12"/>
  <c r="AQ180" i="12"/>
  <c r="AM181" i="12"/>
  <c r="AO181" i="12" s="1"/>
  <c r="BF181" i="12"/>
  <c r="BG181" i="12" s="1"/>
  <c r="BH181" i="12" s="1"/>
  <c r="BE182" i="12" s="1"/>
  <c r="AV179" i="12" l="1"/>
  <c r="AS180" i="12"/>
  <c r="AY180" i="12"/>
  <c r="AP181" i="12"/>
  <c r="BF182" i="12"/>
  <c r="BG182" i="12" s="1"/>
  <c r="BH182" i="12" s="1"/>
  <c r="BE183" i="12" s="1"/>
  <c r="AM182" i="12"/>
  <c r="AO182" i="12" s="1"/>
  <c r="AQ181" i="12"/>
  <c r="AV180" i="12" l="1"/>
  <c r="AS181" i="12"/>
  <c r="AY181" i="12"/>
  <c r="AP182" i="12"/>
  <c r="AM183" i="12"/>
  <c r="AO183" i="12" s="1"/>
  <c r="BF183" i="12"/>
  <c r="BG183" i="12" s="1"/>
  <c r="BH183" i="12" s="1"/>
  <c r="BE184" i="12" s="1"/>
  <c r="AQ182" i="12"/>
  <c r="AV181" i="12" l="1"/>
  <c r="AS182" i="12"/>
  <c r="AY182" i="12"/>
  <c r="AP183" i="12"/>
  <c r="AM184" i="12"/>
  <c r="AO184" i="12" s="1"/>
  <c r="BF184" i="12"/>
  <c r="BG184" i="12" s="1"/>
  <c r="BH184" i="12" s="1"/>
  <c r="BE185" i="12" s="1"/>
  <c r="AQ183" i="12"/>
  <c r="AS183" i="12" l="1"/>
  <c r="AY183" i="12"/>
  <c r="AV182" i="12"/>
  <c r="AP184" i="12"/>
  <c r="AQ184" i="12"/>
  <c r="AM185" i="12"/>
  <c r="AO185" i="12" s="1"/>
  <c r="BF185" i="12"/>
  <c r="BG185" i="12" s="1"/>
  <c r="BH185" i="12" s="1"/>
  <c r="BE186" i="12" s="1"/>
  <c r="AS184" i="12" l="1"/>
  <c r="AY184" i="12"/>
  <c r="AV183" i="12"/>
  <c r="AP185" i="12"/>
  <c r="AQ185" i="12"/>
  <c r="BF186" i="12"/>
  <c r="BG186" i="12" s="1"/>
  <c r="BH186" i="12" s="1"/>
  <c r="BE187" i="12" s="1"/>
  <c r="AM186" i="12"/>
  <c r="AO186" i="12" s="1"/>
  <c r="AV184" i="12" l="1"/>
  <c r="AS185" i="12"/>
  <c r="AY185" i="12"/>
  <c r="AP186" i="12"/>
  <c r="AQ186" i="12"/>
  <c r="AM187" i="12"/>
  <c r="AO187" i="12" s="1"/>
  <c r="BF187" i="12"/>
  <c r="BG187" i="12" s="1"/>
  <c r="BH187" i="12" s="1"/>
  <c r="BE188" i="12" s="1"/>
  <c r="AV185" i="12" l="1"/>
  <c r="AS186" i="12"/>
  <c r="AY186" i="12"/>
  <c r="AP187" i="12"/>
  <c r="AQ187" i="12"/>
  <c r="BF188" i="12"/>
  <c r="BG188" i="12" s="1"/>
  <c r="BH188" i="12" s="1"/>
  <c r="BE189" i="12" s="1"/>
  <c r="AM188" i="12"/>
  <c r="AO188" i="12" s="1"/>
  <c r="AS187" i="12" l="1"/>
  <c r="AY187" i="12"/>
  <c r="AV186" i="12"/>
  <c r="AP188" i="12"/>
  <c r="AQ188" i="12"/>
  <c r="AM189" i="12"/>
  <c r="AO189" i="12" s="1"/>
  <c r="BF189" i="12"/>
  <c r="BG189" i="12" s="1"/>
  <c r="BH189" i="12" s="1"/>
  <c r="BE190" i="12" s="1"/>
  <c r="AV187" i="12" l="1"/>
  <c r="AS188" i="12"/>
  <c r="AY188" i="12"/>
  <c r="AP189" i="12"/>
  <c r="AQ189" i="12"/>
  <c r="BF190" i="12"/>
  <c r="BG190" i="12" s="1"/>
  <c r="BH190" i="12" s="1"/>
  <c r="BE191" i="12" s="1"/>
  <c r="AM190" i="12"/>
  <c r="AO190" i="12" s="1"/>
  <c r="AV188" i="12" l="1"/>
  <c r="AS189" i="12"/>
  <c r="AY189" i="12"/>
  <c r="AP190" i="12"/>
  <c r="AM191" i="12"/>
  <c r="AO191" i="12" s="1"/>
  <c r="BF191" i="12"/>
  <c r="BG191" i="12" s="1"/>
  <c r="BH191" i="12" s="1"/>
  <c r="BE192" i="12" s="1"/>
  <c r="AQ190" i="12"/>
  <c r="AV189" i="12" l="1"/>
  <c r="AS190" i="12"/>
  <c r="AY190" i="12"/>
  <c r="AP191" i="12"/>
  <c r="AQ191" i="12"/>
  <c r="AM192" i="12"/>
  <c r="AO192" i="12" s="1"/>
  <c r="BF192" i="12"/>
  <c r="BG192" i="12" s="1"/>
  <c r="BH192" i="12" s="1"/>
  <c r="BE193" i="12" s="1"/>
  <c r="AV190" i="12" l="1"/>
  <c r="AP192" i="12"/>
  <c r="AQ192" i="12"/>
  <c r="BF193" i="12"/>
  <c r="BG193" i="12" s="1"/>
  <c r="BH193" i="12" s="1"/>
  <c r="BE194" i="12" s="1"/>
  <c r="AM193" i="12"/>
  <c r="AO193" i="12" s="1"/>
  <c r="AS192" i="12" l="1"/>
  <c r="AY192" i="12"/>
  <c r="AP193" i="12"/>
  <c r="AS193" i="12"/>
  <c r="AQ193" i="12"/>
  <c r="AY193" i="12"/>
  <c r="BF194" i="12"/>
  <c r="BG194" i="12" s="1"/>
  <c r="BH194" i="12" s="1"/>
  <c r="BE195" i="12" s="1"/>
  <c r="AM194" i="12"/>
  <c r="AO194" i="12" s="1"/>
  <c r="AV192" i="12" l="1"/>
  <c r="AV193" i="12"/>
  <c r="AP194" i="12"/>
  <c r="AM195" i="12"/>
  <c r="AO195" i="12" s="1"/>
  <c r="BF195" i="12"/>
  <c r="BG195" i="12" s="1"/>
  <c r="BH195" i="12" s="1"/>
  <c r="BE196" i="12" s="1"/>
  <c r="AQ194" i="12"/>
  <c r="AS194" i="12" l="1"/>
  <c r="AY194" i="12"/>
  <c r="AP195" i="12"/>
  <c r="AS195" i="12"/>
  <c r="AY195" i="12"/>
  <c r="AM196" i="12"/>
  <c r="AO196" i="12" s="1"/>
  <c r="BF196" i="12"/>
  <c r="BG196" i="12" s="1"/>
  <c r="BH196" i="12" s="1"/>
  <c r="BE197" i="12" s="1"/>
  <c r="AQ195" i="12"/>
  <c r="AV194" i="12" l="1"/>
  <c r="AV195" i="12"/>
  <c r="AP196" i="12"/>
  <c r="AM197" i="12"/>
  <c r="AO197" i="12" s="1"/>
  <c r="BF197" i="12"/>
  <c r="BG197" i="12" s="1"/>
  <c r="BH197" i="12" s="1"/>
  <c r="BE198" i="12" s="1"/>
  <c r="AQ196" i="12"/>
  <c r="AS196" i="12" l="1"/>
  <c r="AY196" i="12"/>
  <c r="AP197" i="12"/>
  <c r="AQ197" i="12"/>
  <c r="BF198" i="12"/>
  <c r="BG198" i="12" s="1"/>
  <c r="BH198" i="12" s="1"/>
  <c r="BE199" i="12" s="1"/>
  <c r="AM198" i="12"/>
  <c r="AO198" i="12" s="1"/>
  <c r="AV196" i="12" l="1"/>
  <c r="AP198" i="12"/>
  <c r="AS198" i="12"/>
  <c r="AQ198" i="12"/>
  <c r="AY198" i="12"/>
  <c r="AM199" i="12"/>
  <c r="AO199" i="12" s="1"/>
  <c r="BF199" i="12"/>
  <c r="BG199" i="12" s="1"/>
  <c r="BH199" i="12" s="1"/>
  <c r="BE200" i="12" s="1"/>
  <c r="AV198" i="12" l="1"/>
  <c r="AP199" i="12"/>
  <c r="AS199" i="12"/>
  <c r="AQ199" i="12"/>
  <c r="AY199" i="12"/>
  <c r="AM200" i="12"/>
  <c r="AO200" i="12" s="1"/>
  <c r="BF200" i="12"/>
  <c r="BG200" i="12" s="1"/>
  <c r="BH200" i="12" s="1"/>
  <c r="BE201" i="12" s="1"/>
  <c r="AV199" i="12" l="1"/>
  <c r="AP200" i="12"/>
  <c r="AS200" i="12"/>
  <c r="AQ200" i="12"/>
  <c r="AY200" i="12"/>
  <c r="AM201" i="12"/>
  <c r="AO201" i="12" s="1"/>
  <c r="BF201" i="12"/>
  <c r="BG201" i="12" s="1"/>
  <c r="BH201" i="12" s="1"/>
  <c r="BE202" i="12" s="1"/>
  <c r="AV200" i="12" l="1"/>
  <c r="AP201" i="12"/>
  <c r="AS201" i="12"/>
  <c r="AQ201" i="12"/>
  <c r="AY201" i="12"/>
  <c r="AM202" i="12"/>
  <c r="AO202" i="12" s="1"/>
  <c r="BF202" i="12"/>
  <c r="BG202" i="12" s="1"/>
  <c r="BH202" i="12" s="1"/>
  <c r="BE203" i="12" s="1"/>
  <c r="AV201" i="12" l="1"/>
  <c r="AP202" i="12"/>
  <c r="AS202" i="12"/>
  <c r="AQ202" i="12"/>
  <c r="AY202" i="12"/>
  <c r="AM203" i="12"/>
  <c r="AO203" i="12" s="1"/>
  <c r="BF203" i="12"/>
  <c r="BG203" i="12" s="1"/>
  <c r="BH203" i="12" s="1"/>
  <c r="BE204" i="12" s="1"/>
  <c r="AV202" i="12" l="1"/>
  <c r="AP203" i="12"/>
  <c r="AS203" i="12"/>
  <c r="AQ203" i="12"/>
  <c r="AY203" i="12"/>
  <c r="AM204" i="12"/>
  <c r="AO204" i="12" s="1"/>
  <c r="BF204" i="12"/>
  <c r="BG204" i="12" s="1"/>
  <c r="BH204" i="12" s="1"/>
  <c r="BE205" i="12" s="1"/>
  <c r="AV203" i="12" l="1"/>
  <c r="AP204" i="12"/>
  <c r="AS204" i="12"/>
  <c r="AQ204" i="12"/>
  <c r="AY204" i="12"/>
  <c r="BF205" i="12"/>
  <c r="BG205" i="12" s="1"/>
  <c r="BH205" i="12" s="1"/>
  <c r="BE206" i="12" s="1"/>
  <c r="AM205" i="12"/>
  <c r="AO205" i="12" s="1"/>
  <c r="AV204" i="12" l="1"/>
  <c r="AP205" i="12"/>
  <c r="AS205" i="12"/>
  <c r="AQ205" i="12"/>
  <c r="AM206" i="12"/>
  <c r="AO206" i="12" s="1"/>
  <c r="BF206" i="12"/>
  <c r="BG206" i="12" s="1"/>
  <c r="BH206" i="12" s="1"/>
  <c r="BE207" i="12" s="1"/>
  <c r="AY205" i="12"/>
  <c r="AV205" i="12" l="1"/>
  <c r="AP206" i="12"/>
  <c r="AS206" i="12"/>
  <c r="AQ206" i="12"/>
  <c r="AY206" i="12"/>
  <c r="AM207" i="12"/>
  <c r="AO207" i="12" s="1"/>
  <c r="BF207" i="12"/>
  <c r="BG207" i="12" s="1"/>
  <c r="BH207" i="12" s="1"/>
  <c r="BE208" i="12" s="1"/>
  <c r="AV206" i="12" l="1"/>
  <c r="AP207" i="12"/>
  <c r="AS207" i="12"/>
  <c r="AY207" i="12"/>
  <c r="AM208" i="12"/>
  <c r="AO208" i="12" s="1"/>
  <c r="BF208" i="12"/>
  <c r="BG208" i="12" s="1"/>
  <c r="BH208" i="12" s="1"/>
  <c r="BE209" i="12" s="1"/>
  <c r="AQ207" i="12"/>
  <c r="AQ208" i="12" l="1"/>
  <c r="AV207" i="12"/>
  <c r="AP208" i="12"/>
  <c r="AS208" i="12"/>
  <c r="AY208" i="12"/>
  <c r="AM209" i="12"/>
  <c r="AO209" i="12" s="1"/>
  <c r="BF209" i="12"/>
  <c r="BG209" i="12" s="1"/>
  <c r="BH209" i="12" s="1"/>
  <c r="BE210" i="12" s="1"/>
  <c r="AV208" i="12" l="1"/>
  <c r="AP209" i="12"/>
  <c r="AS209" i="12"/>
  <c r="AQ209" i="12"/>
  <c r="AY209" i="12"/>
  <c r="AM210" i="12"/>
  <c r="AO210" i="12" s="1"/>
  <c r="BF210" i="12"/>
  <c r="BG210" i="12" s="1"/>
  <c r="BH210" i="12" s="1"/>
  <c r="BE211" i="12" s="1"/>
  <c r="AV209" i="12" l="1"/>
  <c r="AP210" i="12"/>
  <c r="AS210" i="12"/>
  <c r="AQ210" i="12"/>
  <c r="AY210" i="12"/>
  <c r="AM211" i="12"/>
  <c r="AO211" i="12" s="1"/>
  <c r="BF211" i="12"/>
  <c r="BG211" i="12" s="1"/>
  <c r="BH211" i="12" s="1"/>
  <c r="BE212" i="12" s="1"/>
  <c r="AV210" i="12" l="1"/>
  <c r="AP211" i="12"/>
  <c r="AS211" i="12"/>
  <c r="AQ211" i="12"/>
  <c r="AY211" i="12"/>
  <c r="BF212" i="12"/>
  <c r="BG212" i="12" s="1"/>
  <c r="BH212" i="12" s="1"/>
  <c r="BE213" i="12" s="1"/>
  <c r="AM212" i="12"/>
  <c r="AO212" i="12" s="1"/>
  <c r="AV211" i="12" l="1"/>
  <c r="AP212" i="12"/>
  <c r="AS212" i="12"/>
  <c r="AQ212" i="12"/>
  <c r="AY212" i="12"/>
  <c r="AM213" i="12"/>
  <c r="AO213" i="12" s="1"/>
  <c r="BF213" i="12"/>
  <c r="BG213" i="12" s="1"/>
  <c r="BH213" i="12" s="1"/>
  <c r="BE214" i="12" s="1"/>
  <c r="AV212" i="12" l="1"/>
  <c r="AP213" i="12"/>
  <c r="AS213" i="12"/>
  <c r="AQ213" i="12"/>
  <c r="AY213" i="12"/>
  <c r="AM214" i="12"/>
  <c r="AO214" i="12" s="1"/>
  <c r="BF214" i="12"/>
  <c r="BG214" i="12" s="1"/>
  <c r="BH214" i="12" s="1"/>
  <c r="BE215" i="12" s="1"/>
  <c r="AV213" i="12" l="1"/>
  <c r="AP214" i="12"/>
  <c r="AS214" i="12"/>
  <c r="AY214" i="12"/>
  <c r="AM215" i="12"/>
  <c r="AO215" i="12" s="1"/>
  <c r="BF215" i="12"/>
  <c r="BG215" i="12" s="1"/>
  <c r="BH215" i="12" s="1"/>
  <c r="BE216" i="12" s="1"/>
  <c r="AQ214" i="12"/>
  <c r="AV214" i="12" l="1"/>
  <c r="AP215" i="12"/>
  <c r="AS215" i="12"/>
  <c r="AQ215" i="12"/>
  <c r="AY215" i="12"/>
  <c r="AM216" i="12"/>
  <c r="AO216" i="12" s="1"/>
  <c r="BF216" i="12"/>
  <c r="BG216" i="12" s="1"/>
  <c r="BH216" i="12" s="1"/>
  <c r="BE217" i="12" s="1"/>
  <c r="AV215" i="12" l="1"/>
  <c r="AP216" i="12"/>
  <c r="AS216" i="12"/>
  <c r="AQ216" i="12"/>
  <c r="AY216" i="12"/>
  <c r="BF217" i="12"/>
  <c r="BG217" i="12" s="1"/>
  <c r="BH217" i="12" s="1"/>
  <c r="BE218" i="12" s="1"/>
  <c r="AM217" i="12"/>
  <c r="AO217" i="12" s="1"/>
  <c r="AV216" i="12" l="1"/>
  <c r="AP217" i="12"/>
  <c r="AS217" i="12"/>
  <c r="AQ217" i="12"/>
  <c r="AY217" i="12"/>
  <c r="BF218" i="12"/>
  <c r="BG218" i="12" s="1"/>
  <c r="BH218" i="12" s="1"/>
  <c r="BE219" i="12" s="1"/>
  <c r="AM218" i="12"/>
  <c r="AO218" i="12" s="1"/>
  <c r="AV217" i="12" l="1"/>
  <c r="AP218" i="12"/>
  <c r="AS218" i="12"/>
  <c r="AM219" i="12"/>
  <c r="AO219" i="12" s="1"/>
  <c r="BF219" i="12"/>
  <c r="BG219" i="12" s="1"/>
  <c r="BH219" i="12" s="1"/>
  <c r="BE220" i="12" s="1"/>
  <c r="AQ218" i="12"/>
  <c r="AY218" i="12"/>
  <c r="AV218" i="12" l="1"/>
  <c r="AP219" i="12"/>
  <c r="AS219" i="12"/>
  <c r="AQ219" i="12"/>
  <c r="AY219" i="12"/>
  <c r="AM220" i="12"/>
  <c r="AO220" i="12" s="1"/>
  <c r="BF220" i="12"/>
  <c r="BG220" i="12" s="1"/>
  <c r="BH220" i="12" s="1"/>
  <c r="BE221" i="12" s="1"/>
  <c r="AV219" i="12" l="1"/>
  <c r="AP220" i="12"/>
  <c r="AS220" i="12"/>
  <c r="AQ220" i="12"/>
  <c r="AY220" i="12"/>
  <c r="AM221" i="12"/>
  <c r="AO221" i="12" s="1"/>
  <c r="BF221" i="12"/>
  <c r="BG221" i="12" s="1"/>
  <c r="BH221" i="12" s="1"/>
  <c r="BE222" i="12" s="1"/>
  <c r="AV220" i="12" l="1"/>
  <c r="AP221" i="12"/>
  <c r="AS221" i="12"/>
  <c r="AY221" i="12"/>
  <c r="AM222" i="12"/>
  <c r="AO222" i="12" s="1"/>
  <c r="BF222" i="12"/>
  <c r="BG222" i="12" s="1"/>
  <c r="BH222" i="12" s="1"/>
  <c r="BE223" i="12" s="1"/>
  <c r="AQ221" i="12"/>
  <c r="AV221" i="12" l="1"/>
  <c r="AP222" i="12"/>
  <c r="AS222" i="12"/>
  <c r="AY222" i="12"/>
  <c r="BF223" i="12"/>
  <c r="BG223" i="12" s="1"/>
  <c r="BH223" i="12" s="1"/>
  <c r="BE224" i="12" s="1"/>
  <c r="AM223" i="12"/>
  <c r="AO223" i="12" s="1"/>
  <c r="AQ222" i="12"/>
  <c r="AV222" i="12" l="1"/>
  <c r="AP223" i="12"/>
  <c r="AS223" i="12"/>
  <c r="AQ223" i="12"/>
  <c r="AM224" i="12"/>
  <c r="AO224" i="12" s="1"/>
  <c r="BF224" i="12"/>
  <c r="BG224" i="12" s="1"/>
  <c r="BH224" i="12" s="1"/>
  <c r="BE225" i="12" s="1"/>
  <c r="AY223" i="12"/>
  <c r="AV223" i="12" l="1"/>
  <c r="AP224" i="12"/>
  <c r="AS224" i="12"/>
  <c r="AM225" i="12"/>
  <c r="AO225" i="12" s="1"/>
  <c r="BF225" i="12"/>
  <c r="BG225" i="12" s="1"/>
  <c r="BH225" i="12" s="1"/>
  <c r="BE226" i="12" s="1"/>
  <c r="AQ224" i="12"/>
  <c r="AY224" i="12"/>
  <c r="AV224" i="12" l="1"/>
  <c r="AP225" i="12"/>
  <c r="AS225" i="12"/>
  <c r="AQ225" i="12"/>
  <c r="AY225" i="12"/>
  <c r="AM226" i="12"/>
  <c r="AO226" i="12" s="1"/>
  <c r="BF226" i="12"/>
  <c r="BG226" i="12" s="1"/>
  <c r="BH226" i="12" s="1"/>
  <c r="BE227" i="12" s="1"/>
  <c r="AV225" i="12" l="1"/>
  <c r="AP226" i="12"/>
  <c r="AS226" i="12"/>
  <c r="AQ226" i="12"/>
  <c r="AY226" i="12"/>
  <c r="BF227" i="12"/>
  <c r="BG227" i="12" s="1"/>
  <c r="BH227" i="12" s="1"/>
  <c r="BE228" i="12" s="1"/>
  <c r="AM227" i="12"/>
  <c r="AO227" i="12" s="1"/>
  <c r="AV226" i="12" l="1"/>
  <c r="AP227" i="12"/>
  <c r="AS227" i="12"/>
  <c r="AQ227" i="12"/>
  <c r="AY227" i="12"/>
  <c r="AM228" i="12"/>
  <c r="AO228" i="12" s="1"/>
  <c r="BF228" i="12"/>
  <c r="BG228" i="12" s="1"/>
  <c r="BH228" i="12" s="1"/>
  <c r="BE229" i="12" s="1"/>
  <c r="AV227" i="12" l="1"/>
  <c r="AP228" i="12"/>
  <c r="AS228" i="12"/>
  <c r="AQ228" i="12"/>
  <c r="AY228" i="12"/>
  <c r="BF229" i="12"/>
  <c r="BG229" i="12" s="1"/>
  <c r="BH229" i="12" s="1"/>
  <c r="BE230" i="12" s="1"/>
  <c r="AM229" i="12"/>
  <c r="AO229" i="12" s="1"/>
  <c r="AV228" i="12" l="1"/>
  <c r="AP229" i="12"/>
  <c r="AS229" i="12"/>
  <c r="AQ229" i="12"/>
  <c r="AY229" i="12"/>
  <c r="AM230" i="12"/>
  <c r="AO230" i="12" s="1"/>
  <c r="BF230" i="12"/>
  <c r="BG230" i="12" s="1"/>
  <c r="BH230" i="12" s="1"/>
  <c r="BE231" i="12" s="1"/>
  <c r="AV229" i="12" l="1"/>
  <c r="AP230" i="12"/>
  <c r="AS230" i="12"/>
  <c r="AQ230" i="12"/>
  <c r="AY230" i="12"/>
  <c r="AM231" i="12"/>
  <c r="AO231" i="12" s="1"/>
  <c r="BF231" i="12"/>
  <c r="BG231" i="12" s="1"/>
  <c r="BH231" i="12" s="1"/>
  <c r="BE232" i="12" s="1"/>
  <c r="AV230" i="12" l="1"/>
  <c r="AP231" i="12"/>
  <c r="AS231" i="12"/>
  <c r="AQ231" i="12"/>
  <c r="AY231" i="12"/>
  <c r="AM232" i="12"/>
  <c r="AO232" i="12" s="1"/>
  <c r="BF232" i="12"/>
  <c r="BG232" i="12" s="1"/>
  <c r="BH232" i="12" s="1"/>
  <c r="BE233" i="12" s="1"/>
  <c r="AV231" i="12" l="1"/>
  <c r="AP232" i="12"/>
  <c r="AS232" i="12"/>
  <c r="AQ232" i="12"/>
  <c r="AY232" i="12"/>
  <c r="BF233" i="12"/>
  <c r="BG233" i="12" s="1"/>
  <c r="BH233" i="12" s="1"/>
  <c r="BE234" i="12" s="1"/>
  <c r="AM233" i="12"/>
  <c r="AO233" i="12" s="1"/>
  <c r="AQ233" i="12" l="1"/>
  <c r="AV232" i="12"/>
  <c r="AP233" i="12"/>
  <c r="AS233" i="12"/>
  <c r="BF234" i="12"/>
  <c r="BG234" i="12" s="1"/>
  <c r="BH234" i="12" s="1"/>
  <c r="BE235" i="12" s="1"/>
  <c r="AM234" i="12"/>
  <c r="AO234" i="12" s="1"/>
  <c r="AP234" i="12" s="1"/>
  <c r="AY233" i="12"/>
  <c r="AS234" i="12" l="1"/>
  <c r="AV233" i="12"/>
  <c r="AQ234" i="12"/>
  <c r="AY234" i="12"/>
  <c r="AM235" i="12"/>
  <c r="AO235" i="12" s="1"/>
  <c r="BF235" i="12"/>
  <c r="BG235" i="12" s="1"/>
  <c r="BH235" i="12" s="1"/>
  <c r="BE236" i="12" s="1"/>
  <c r="AV234" i="12" l="1"/>
  <c r="AP235" i="12"/>
  <c r="AS235" i="12"/>
  <c r="AQ235" i="12"/>
  <c r="AY235" i="12"/>
  <c r="AM236" i="12"/>
  <c r="AO236" i="12" s="1"/>
  <c r="BF236" i="12"/>
  <c r="BG236" i="12" s="1"/>
  <c r="BH236" i="12" s="1"/>
  <c r="BE237" i="12" s="1"/>
  <c r="AV235" i="12" l="1"/>
  <c r="AP236" i="12"/>
  <c r="AS236" i="12"/>
  <c r="AQ236" i="12"/>
  <c r="AY236" i="12"/>
  <c r="AM237" i="12"/>
  <c r="AO237" i="12" s="1"/>
  <c r="BF237" i="12"/>
  <c r="BG237" i="12" s="1"/>
  <c r="BH237" i="12" s="1"/>
  <c r="BE238" i="12" s="1"/>
  <c r="AV236" i="12" l="1"/>
  <c r="AP237" i="12"/>
  <c r="AS237" i="12"/>
  <c r="AQ237" i="12"/>
  <c r="AY237" i="12"/>
  <c r="BF238" i="12"/>
  <c r="BG238" i="12" s="1"/>
  <c r="BH238" i="12" s="1"/>
  <c r="BE239" i="12" s="1"/>
  <c r="AM238" i="12"/>
  <c r="AO238" i="12" s="1"/>
  <c r="AV237" i="12" l="1"/>
  <c r="AP238" i="12"/>
  <c r="AS238" i="12"/>
  <c r="AQ238" i="12"/>
  <c r="AY238" i="12"/>
  <c r="AM239" i="12"/>
  <c r="AO239" i="12" s="1"/>
  <c r="BF239" i="12"/>
  <c r="BG239" i="12" s="1"/>
  <c r="BH239" i="12" s="1"/>
  <c r="BE240" i="12" s="1"/>
  <c r="AV238" i="12" l="1"/>
  <c r="AP239" i="12"/>
  <c r="AS239" i="12"/>
  <c r="AQ239" i="12"/>
  <c r="AY239" i="12"/>
  <c r="BF240" i="12"/>
  <c r="BG240" i="12" s="1"/>
  <c r="BH240" i="12" s="1"/>
  <c r="BE241" i="12" s="1"/>
  <c r="AM240" i="12"/>
  <c r="AO240" i="12" s="1"/>
  <c r="AV239" i="12" l="1"/>
  <c r="AP240" i="12"/>
  <c r="AS240" i="12"/>
  <c r="AQ240" i="12"/>
  <c r="AY240" i="12"/>
  <c r="AM241" i="12"/>
  <c r="AO241" i="12" s="1"/>
  <c r="BF241" i="12"/>
  <c r="BG241" i="12" s="1"/>
  <c r="BH241" i="12" s="1"/>
  <c r="BE242" i="12" s="1"/>
  <c r="AV240" i="12" l="1"/>
  <c r="AP241" i="12"/>
  <c r="AS241" i="12"/>
  <c r="AY241" i="12"/>
  <c r="BF242" i="12"/>
  <c r="BG242" i="12" s="1"/>
  <c r="BH242" i="12" s="1"/>
  <c r="BE243" i="12" s="1"/>
  <c r="AM242" i="12"/>
  <c r="AO242" i="12" s="1"/>
  <c r="AQ241" i="12"/>
  <c r="AV241" i="12" l="1"/>
  <c r="AP242" i="12"/>
  <c r="AS242" i="12"/>
  <c r="AQ242" i="12"/>
  <c r="AY242" i="12"/>
  <c r="AM243" i="12"/>
  <c r="AO243" i="12" s="1"/>
  <c r="BF243" i="12"/>
  <c r="BG243" i="12" s="1"/>
  <c r="BH243" i="12" s="1"/>
  <c r="BE244" i="12" s="1"/>
  <c r="AV242" i="12" l="1"/>
  <c r="AP243" i="12"/>
  <c r="AS243" i="12"/>
  <c r="AQ243" i="12"/>
  <c r="AY243" i="12"/>
  <c r="BF244" i="12"/>
  <c r="BG244" i="12" s="1"/>
  <c r="BH244" i="12" s="1"/>
  <c r="BE245" i="12" s="1"/>
  <c r="AM244" i="12"/>
  <c r="AO244" i="12" s="1"/>
  <c r="AV243" i="12" l="1"/>
  <c r="AP244" i="12"/>
  <c r="AS244" i="12"/>
  <c r="BF245" i="12"/>
  <c r="AM245" i="12"/>
  <c r="AY244" i="12"/>
  <c r="AQ244" i="12"/>
  <c r="AV244" i="12" l="1"/>
  <c r="BF123" i="12"/>
  <c r="BG245" i="12"/>
  <c r="AM123" i="12"/>
  <c r="E113" i="12" s="1"/>
  <c r="AO245" i="12"/>
  <c r="BH245" i="12" l="1"/>
  <c r="Q8" i="12" s="1"/>
  <c r="Q10" i="12" s="1"/>
  <c r="BG123" i="12"/>
  <c r="Q9" i="12" s="1"/>
  <c r="AQ245" i="12"/>
  <c r="AQ123" i="12" s="1"/>
  <c r="AP245" i="12"/>
  <c r="AP123" i="12" s="1"/>
  <c r="V7" i="12"/>
  <c r="AO123" i="12"/>
  <c r="AY245" i="12"/>
  <c r="AS245" i="12" l="1"/>
  <c r="W7" i="12"/>
  <c r="X7" i="12" s="1"/>
  <c r="AY164" i="12" l="1"/>
  <c r="AS164" i="12"/>
  <c r="AY197" i="12"/>
  <c r="AS197" i="12"/>
  <c r="AY155" i="12"/>
  <c r="AS155" i="12"/>
  <c r="AY159" i="12"/>
  <c r="AS159" i="12"/>
  <c r="AY167" i="12"/>
  <c r="AS167" i="12"/>
  <c r="AY191" i="12"/>
  <c r="AS191" i="12"/>
  <c r="AS173" i="12"/>
  <c r="AY173" i="12"/>
  <c r="AS168" i="12"/>
  <c r="AY168" i="12"/>
  <c r="AY131" i="12"/>
  <c r="AS131" i="12"/>
  <c r="AY161" i="12"/>
  <c r="AS161" i="12"/>
  <c r="AR123" i="12"/>
  <c r="AY147" i="12"/>
  <c r="AS147" i="12"/>
  <c r="AA7" i="12"/>
  <c r="AB7" i="12"/>
  <c r="Z7" i="12"/>
  <c r="AT136" i="12" l="1"/>
  <c r="AT135" i="12"/>
  <c r="AT134" i="12"/>
  <c r="AT133" i="12"/>
  <c r="AT132" i="12"/>
  <c r="AT131" i="12"/>
  <c r="AR122" i="12"/>
  <c r="AR120" i="12"/>
  <c r="AS137" i="12"/>
  <c r="AY137" i="12"/>
  <c r="AT215" i="12" l="1"/>
  <c r="AT224" i="12"/>
  <c r="AT212" i="12"/>
  <c r="AT217" i="12"/>
  <c r="AT227" i="12"/>
  <c r="AT223" i="12"/>
  <c r="AT211" i="12"/>
  <c r="AT194" i="12"/>
  <c r="AT228" i="12"/>
  <c r="AT226" i="12"/>
  <c r="AT214" i="12"/>
  <c r="AT209" i="12"/>
  <c r="AT208" i="12"/>
  <c r="AT207" i="12"/>
  <c r="AT240" i="12"/>
  <c r="AT239" i="12"/>
  <c r="AT238" i="12"/>
  <c r="AT234" i="12"/>
  <c r="AT233" i="12"/>
  <c r="AT231" i="12"/>
  <c r="AT230" i="12"/>
  <c r="AT192" i="12"/>
  <c r="AT190" i="12"/>
  <c r="AT189" i="12"/>
  <c r="AT183" i="12"/>
  <c r="AT182" i="12"/>
  <c r="AT180" i="12"/>
  <c r="AT179" i="12"/>
  <c r="AT177" i="12"/>
  <c r="AT176" i="12"/>
  <c r="AT156" i="12"/>
  <c r="AT155" i="12"/>
  <c r="AT168" i="12"/>
  <c r="AT235" i="12"/>
  <c r="AT232" i="12"/>
  <c r="AT147" i="12"/>
  <c r="AT225" i="12"/>
  <c r="AT195" i="12"/>
  <c r="AT229" i="12"/>
  <c r="AT206" i="12"/>
  <c r="AT204" i="12"/>
  <c r="AT201" i="12"/>
  <c r="AT200" i="12"/>
  <c r="AT174" i="12"/>
  <c r="AT173" i="12"/>
  <c r="AT171" i="12"/>
  <c r="AT169" i="12"/>
  <c r="AT153" i="12"/>
  <c r="AT152" i="12"/>
  <c r="AT150" i="12"/>
  <c r="AT149" i="12"/>
  <c r="AT222" i="12"/>
  <c r="AT221" i="12"/>
  <c r="AT216" i="12"/>
  <c r="AT213" i="12"/>
  <c r="AT210" i="12"/>
  <c r="AT205" i="12"/>
  <c r="AT202" i="12"/>
  <c r="AT196" i="12"/>
  <c r="AT193" i="12"/>
  <c r="AT191" i="12"/>
  <c r="AT184" i="12"/>
  <c r="AT187" i="12"/>
  <c r="AT185" i="12"/>
  <c r="AT166" i="12"/>
  <c r="AT181" i="12"/>
  <c r="AT178" i="12"/>
  <c r="AT175" i="12"/>
  <c r="AT172" i="12"/>
  <c r="AT170" i="12"/>
  <c r="AT157" i="12"/>
  <c r="AT154" i="12"/>
  <c r="AT151" i="12"/>
  <c r="AT148" i="12"/>
  <c r="AS123" i="12"/>
  <c r="AT220" i="12"/>
  <c r="AT219" i="12"/>
  <c r="AT218" i="12"/>
  <c r="AT199" i="12"/>
  <c r="AT198" i="12"/>
  <c r="AT197" i="12"/>
  <c r="AT188" i="12"/>
  <c r="AT186" i="12"/>
  <c r="AT167" i="12"/>
  <c r="AT236" i="12"/>
  <c r="AT237" i="12"/>
  <c r="AT203" i="12"/>
  <c r="AT165" i="12"/>
  <c r="AT164" i="12"/>
  <c r="AT163" i="12"/>
  <c r="AT162" i="12"/>
  <c r="AT161" i="12"/>
  <c r="AT160" i="12"/>
  <c r="AT159" i="12"/>
  <c r="AT158" i="12"/>
  <c r="AT137" i="12"/>
  <c r="AT141" i="12"/>
  <c r="AT143" i="12"/>
  <c r="AT146" i="12"/>
  <c r="AT243" i="12"/>
  <c r="AT139" i="12"/>
  <c r="AT142" i="12"/>
  <c r="AT145" i="12"/>
  <c r="AT242" i="12"/>
  <c r="AT244" i="12"/>
  <c r="AT138" i="12"/>
  <c r="AT140" i="12"/>
  <c r="AT144" i="12"/>
  <c r="AT241" i="12"/>
  <c r="AT245" i="12"/>
  <c r="AT123" i="12" s="1"/>
  <c r="AV245" i="12"/>
  <c r="AV164" i="12" l="1"/>
  <c r="AV197" i="12"/>
  <c r="AV159" i="12"/>
  <c r="AV167" i="12"/>
  <c r="AV155" i="12"/>
  <c r="AV191" i="12"/>
  <c r="AV173" i="12"/>
  <c r="AV168" i="12"/>
  <c r="AV131" i="12"/>
  <c r="AV161" i="12"/>
  <c r="AV147" i="12"/>
  <c r="AW133" i="12" l="1"/>
  <c r="AX133" i="12" s="1"/>
  <c r="AW134" i="12"/>
  <c r="AX134" i="12" s="1"/>
  <c r="AW132" i="12"/>
  <c r="AX132" i="12" s="1"/>
  <c r="AW131" i="12"/>
  <c r="AX131" i="12" s="1"/>
  <c r="AW135" i="12"/>
  <c r="AX135" i="12" s="1"/>
  <c r="AW136" i="12"/>
  <c r="AX136" i="12" s="1"/>
  <c r="AU123" i="12" l="1"/>
  <c r="AV137" i="12"/>
  <c r="E115" i="12" l="1"/>
  <c r="AU120" i="12"/>
  <c r="AW187" i="12"/>
  <c r="AX187" i="12" s="1"/>
  <c r="AW185" i="12"/>
  <c r="AX185" i="12" s="1"/>
  <c r="AW181" i="12"/>
  <c r="AX181" i="12" s="1"/>
  <c r="AW178" i="12"/>
  <c r="AX178" i="12" s="1"/>
  <c r="AW175" i="12"/>
  <c r="AX175" i="12" s="1"/>
  <c r="AW172" i="12"/>
  <c r="AX172" i="12" s="1"/>
  <c r="AW169" i="12"/>
  <c r="AX169" i="12" s="1"/>
  <c r="AW166" i="12"/>
  <c r="AX166" i="12" s="1"/>
  <c r="AW161" i="12"/>
  <c r="AX161" i="12" s="1"/>
  <c r="AW170" i="12"/>
  <c r="AX170" i="12" s="1"/>
  <c r="AW155" i="12"/>
  <c r="AX155" i="12" s="1"/>
  <c r="AW153" i="12"/>
  <c r="AX153" i="12" s="1"/>
  <c r="AW151" i="12"/>
  <c r="AX151" i="12" s="1"/>
  <c r="AW149" i="12"/>
  <c r="AX149" i="12" s="1"/>
  <c r="V8" i="12"/>
  <c r="W8" i="12" s="1"/>
  <c r="X8" i="12" s="1"/>
  <c r="AV123" i="12"/>
  <c r="E92" i="12" s="1"/>
  <c r="E91" i="12" s="1"/>
  <c r="AW243" i="12"/>
  <c r="AX243" i="12" s="1"/>
  <c r="AW241" i="12"/>
  <c r="AX241" i="12" s="1"/>
  <c r="AW237" i="12"/>
  <c r="AX237" i="12" s="1"/>
  <c r="AW236" i="12"/>
  <c r="AX236" i="12" s="1"/>
  <c r="AW235" i="12"/>
  <c r="AX235" i="12" s="1"/>
  <c r="AW234" i="12"/>
  <c r="AX234" i="12" s="1"/>
  <c r="AW233" i="12"/>
  <c r="AX233" i="12" s="1"/>
  <c r="AW232" i="12"/>
  <c r="AX232" i="12" s="1"/>
  <c r="AW231" i="12"/>
  <c r="AX231" i="12" s="1"/>
  <c r="AW184" i="12"/>
  <c r="AX184" i="12" s="1"/>
  <c r="AW177" i="12"/>
  <c r="AX177" i="12" s="1"/>
  <c r="AW168" i="12"/>
  <c r="AX168" i="12" s="1"/>
  <c r="AW160" i="12"/>
  <c r="AX160" i="12" s="1"/>
  <c r="AW152" i="12"/>
  <c r="AX152" i="12" s="1"/>
  <c r="AW239" i="12"/>
  <c r="AX239" i="12" s="1"/>
  <c r="AW182" i="12"/>
  <c r="AX182" i="12" s="1"/>
  <c r="AW174" i="12"/>
  <c r="AX174" i="12" s="1"/>
  <c r="AW165" i="12"/>
  <c r="AX165" i="12" s="1"/>
  <c r="AW156" i="12"/>
  <c r="AX156" i="12" s="1"/>
  <c r="AW225" i="12"/>
  <c r="AX225" i="12" s="1"/>
  <c r="AW171" i="12"/>
  <c r="AX171" i="12" s="1"/>
  <c r="AW163" i="12"/>
  <c r="AX163" i="12" s="1"/>
  <c r="AW154" i="12"/>
  <c r="AX154" i="12" s="1"/>
  <c r="AW245" i="12"/>
  <c r="AW228" i="12"/>
  <c r="AX228" i="12" s="1"/>
  <c r="AW186" i="12"/>
  <c r="AX186" i="12" s="1"/>
  <c r="AW183" i="12"/>
  <c r="AX183" i="12" s="1"/>
  <c r="AW179" i="12"/>
  <c r="AX179" i="12" s="1"/>
  <c r="AW176" i="12"/>
  <c r="AX176" i="12" s="1"/>
  <c r="AW244" i="12"/>
  <c r="AX244" i="12" s="1"/>
  <c r="AW167" i="12"/>
  <c r="AX167" i="12" s="1"/>
  <c r="AW162" i="12"/>
  <c r="AX162" i="12" s="1"/>
  <c r="AW159" i="12"/>
  <c r="AX159" i="12" s="1"/>
  <c r="AW242" i="12"/>
  <c r="AX242" i="12" s="1"/>
  <c r="AW240" i="12"/>
  <c r="AX240" i="12" s="1"/>
  <c r="AW238" i="12"/>
  <c r="AX238" i="12" s="1"/>
  <c r="AW230" i="12"/>
  <c r="AX230" i="12" s="1"/>
  <c r="AW229" i="12"/>
  <c r="AX229" i="12" s="1"/>
  <c r="AW227" i="12"/>
  <c r="AX227" i="12" s="1"/>
  <c r="AW226" i="12"/>
  <c r="AX226" i="12" s="1"/>
  <c r="AW224" i="12"/>
  <c r="AX224" i="12" s="1"/>
  <c r="AW223" i="12"/>
  <c r="AX223" i="12" s="1"/>
  <c r="AW222" i="12"/>
  <c r="AX222" i="12" s="1"/>
  <c r="AW221" i="12"/>
  <c r="AX221" i="12" s="1"/>
  <c r="AW220" i="12"/>
  <c r="AX220" i="12" s="1"/>
  <c r="AW219" i="12"/>
  <c r="AX219" i="12" s="1"/>
  <c r="AW218" i="12"/>
  <c r="AX218" i="12" s="1"/>
  <c r="AW217" i="12"/>
  <c r="AX217" i="12" s="1"/>
  <c r="AW216" i="12"/>
  <c r="AX216" i="12" s="1"/>
  <c r="AW215" i="12"/>
  <c r="AX215" i="12" s="1"/>
  <c r="AW214" i="12"/>
  <c r="AX214" i="12" s="1"/>
  <c r="AW213" i="12"/>
  <c r="AX213" i="12" s="1"/>
  <c r="AW212" i="12"/>
  <c r="AX212" i="12" s="1"/>
  <c r="AW211" i="12"/>
  <c r="AX211" i="12" s="1"/>
  <c r="AW210" i="12"/>
  <c r="AX210" i="12" s="1"/>
  <c r="AW209" i="12"/>
  <c r="AX209" i="12" s="1"/>
  <c r="AW208" i="12"/>
  <c r="AX208" i="12" s="1"/>
  <c r="AW207" i="12"/>
  <c r="AX207" i="12" s="1"/>
  <c r="AW206" i="12"/>
  <c r="AX206" i="12" s="1"/>
  <c r="AW205" i="12"/>
  <c r="AX205" i="12" s="1"/>
  <c r="AW204" i="12"/>
  <c r="AX204" i="12" s="1"/>
  <c r="AW203" i="12"/>
  <c r="AX203" i="12" s="1"/>
  <c r="AW202" i="12"/>
  <c r="AX202" i="12" s="1"/>
  <c r="AW201" i="12"/>
  <c r="AX201" i="12" s="1"/>
  <c r="AW200" i="12"/>
  <c r="AX200" i="12" s="1"/>
  <c r="AW199" i="12"/>
  <c r="AX199" i="12" s="1"/>
  <c r="AW198" i="12"/>
  <c r="AX198" i="12" s="1"/>
  <c r="AW197" i="12"/>
  <c r="AX197" i="12" s="1"/>
  <c r="AW196" i="12"/>
  <c r="AX196" i="12" s="1"/>
  <c r="AW195" i="12"/>
  <c r="AX195" i="12" s="1"/>
  <c r="AW194" i="12"/>
  <c r="AX194" i="12" s="1"/>
  <c r="AW193" i="12"/>
  <c r="AX193" i="12" s="1"/>
  <c r="AW192" i="12"/>
  <c r="AX192" i="12" s="1"/>
  <c r="AW191" i="12"/>
  <c r="AX191" i="12" s="1"/>
  <c r="AW190" i="12"/>
  <c r="AX190" i="12" s="1"/>
  <c r="AW189" i="12"/>
  <c r="AX189" i="12" s="1"/>
  <c r="AW188" i="12"/>
  <c r="AX188" i="12" s="1"/>
  <c r="AW180" i="12"/>
  <c r="AX180" i="12" s="1"/>
  <c r="AW173" i="12"/>
  <c r="AX173" i="12" s="1"/>
  <c r="AW164" i="12"/>
  <c r="AX164" i="12" s="1"/>
  <c r="AW157" i="12"/>
  <c r="AX157" i="12" s="1"/>
  <c r="AW150" i="12"/>
  <c r="AX150" i="12" s="1"/>
  <c r="AW148" i="12"/>
  <c r="AX148" i="12" s="1"/>
  <c r="AW147" i="12"/>
  <c r="AX147" i="12" s="1"/>
  <c r="AW158" i="12"/>
  <c r="AX158" i="12" s="1"/>
  <c r="AW138" i="12"/>
  <c r="AX138" i="12" s="1"/>
  <c r="AW137" i="12"/>
  <c r="AX137" i="12" s="1"/>
  <c r="AW139" i="12"/>
  <c r="AX139" i="12" s="1"/>
  <c r="AW140" i="12"/>
  <c r="AX140" i="12" s="1"/>
  <c r="AW141" i="12"/>
  <c r="AX141" i="12" s="1"/>
  <c r="AW142" i="12"/>
  <c r="AX142" i="12" s="1"/>
  <c r="AW143" i="12"/>
  <c r="AX143" i="12" s="1"/>
  <c r="AW144" i="12"/>
  <c r="AX144" i="12" s="1"/>
  <c r="AW145" i="12"/>
  <c r="AX145" i="12" s="1"/>
  <c r="AW146" i="12"/>
  <c r="AX146" i="12" s="1"/>
  <c r="E93" i="12" l="1"/>
  <c r="D92" i="12"/>
  <c r="D89" i="12"/>
  <c r="D90" i="12"/>
  <c r="D91" i="12"/>
  <c r="D93" i="12"/>
  <c r="F87" i="12"/>
  <c r="Y9" i="12"/>
  <c r="Z8" i="12"/>
  <c r="AB8" i="12"/>
  <c r="AA8" i="12"/>
  <c r="AX245" i="12"/>
  <c r="AW123" i="12"/>
  <c r="E89" i="12" s="1"/>
  <c r="AX123" i="12" l="1"/>
  <c r="E90" i="12"/>
  <c r="F93" i="12"/>
  <c r="F9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 Macháček</author>
  </authors>
  <commentList>
    <comment ref="F25" authorId="0" shapeId="0" xr:uid="{DA7B906F-3752-4799-BF50-CF5D31725823}">
      <text>
        <r>
          <rPr>
            <b/>
            <sz val="9"/>
            <color indexed="81"/>
            <rFont val="Tahoma"/>
            <family val="2"/>
          </rPr>
          <t>Jan Macháček:</t>
        </r>
        <r>
          <rPr>
            <sz val="9"/>
            <color indexed="81"/>
            <rFont val="Tahoma"/>
            <family val="2"/>
          </rPr>
          <t xml:space="preserve">
act/360</t>
        </r>
      </text>
    </comment>
  </commentList>
</comments>
</file>

<file path=xl/sharedStrings.xml><?xml version="1.0" encoding="utf-8"?>
<sst xmlns="http://schemas.openxmlformats.org/spreadsheetml/2006/main" count="279" uniqueCount="186">
  <si>
    <t>Yes</t>
  </si>
  <si>
    <t>No</t>
  </si>
  <si>
    <t>IRR</t>
  </si>
  <si>
    <t>Net break even point // TEX</t>
  </si>
  <si>
    <t>Net multiple for Success fee</t>
  </si>
  <si>
    <t>Cumulative Net CF</t>
  </si>
  <si>
    <t>Net Cash flow before tax</t>
  </si>
  <si>
    <t>Success fee 2</t>
  </si>
  <si>
    <t>Success fee 1</t>
  </si>
  <si>
    <t>GC after costs after cap after cuts</t>
  </si>
  <si>
    <t>Month (calendar)</t>
  </si>
  <si>
    <t>Cash flow</t>
  </si>
  <si>
    <t>∑</t>
  </si>
  <si>
    <t>months</t>
  </si>
  <si>
    <t>Total Investment (% of nominal value)</t>
  </si>
  <si>
    <t>Total Investment</t>
  </si>
  <si>
    <t>Closing costs as % out of PP</t>
  </si>
  <si>
    <t>Notarization costs</t>
  </si>
  <si>
    <t>Purchase price minus PCC</t>
  </si>
  <si>
    <t>PCC</t>
  </si>
  <si>
    <t>Purchase price</t>
  </si>
  <si>
    <t>Price/UPB Net of PCC</t>
  </si>
  <si>
    <t>Purchase Price (% out of Bank market value)</t>
  </si>
  <si>
    <t>Purchase Price (% out of Principal value)</t>
  </si>
  <si>
    <t>Purchase Price (% out of Nominal value)</t>
  </si>
  <si>
    <t>Comments</t>
  </si>
  <si>
    <t>Total</t>
  </si>
  <si>
    <t>Investment overview</t>
  </si>
  <si>
    <t>month</t>
  </si>
  <si>
    <t>of Purchase price</t>
  </si>
  <si>
    <t>of gross collections</t>
  </si>
  <si>
    <t>Success fee after Threshold 2</t>
  </si>
  <si>
    <t>Success fee Threshold 2</t>
  </si>
  <si>
    <t>Success fee after Threshold 1</t>
  </si>
  <si>
    <t>Success fee Threshold 1</t>
  </si>
  <si>
    <t>Main assumptions</t>
  </si>
  <si>
    <t>Average size of the loan</t>
  </si>
  <si>
    <t>Bank`s market value of NPL Collateral</t>
  </si>
  <si>
    <t>Number of unique collaterals with BMV&gt;0</t>
  </si>
  <si>
    <t>Number of loans</t>
  </si>
  <si>
    <t>Principal value</t>
  </si>
  <si>
    <t>Nominal value</t>
  </si>
  <si>
    <t>Portfolio overview</t>
  </si>
  <si>
    <t>Cut off date</t>
  </si>
  <si>
    <t xml:space="preserve">Binding bid </t>
  </si>
  <si>
    <t>Type of the bid price submission</t>
  </si>
  <si>
    <t xml:space="preserve">Type of the portfolio </t>
  </si>
  <si>
    <t>Country</t>
  </si>
  <si>
    <t>Seller</t>
  </si>
  <si>
    <t>Transaction description</t>
  </si>
  <si>
    <t>all data in EUR</t>
  </si>
  <si>
    <t>TOTAL</t>
  </si>
  <si>
    <t>Number of clients</t>
  </si>
  <si>
    <t>GC Total</t>
  </si>
  <si>
    <t>TECH</t>
  </si>
  <si>
    <t>MV</t>
  </si>
  <si>
    <t>Check 1</t>
  </si>
  <si>
    <t>Check 2</t>
  </si>
  <si>
    <t>Principal BoP</t>
  </si>
  <si>
    <t>Interest</t>
  </si>
  <si>
    <t>Amortization</t>
  </si>
  <si>
    <t>Principal EoP/NPV</t>
  </si>
  <si>
    <t>TECH for gross IRR</t>
  </si>
  <si>
    <t>Tax base CIT</t>
  </si>
  <si>
    <t xml:space="preserve">Daily IRR model hard copy </t>
  </si>
  <si>
    <t>Principal EoP</t>
  </si>
  <si>
    <t>Check 3</t>
  </si>
  <si>
    <t>Notification letters</t>
  </si>
  <si>
    <t>EUR per loan</t>
  </si>
  <si>
    <t>One - Off</t>
  </si>
  <si>
    <t>of net multiple before tax</t>
  </si>
  <si>
    <t>Net CF after all taxes</t>
  </si>
  <si>
    <t>One - Off Costs</t>
  </si>
  <si>
    <t>Model Outcome</t>
  </si>
  <si>
    <t>Values</t>
  </si>
  <si>
    <t>Ends</t>
  </si>
  <si>
    <t>Blank</t>
  </si>
  <si>
    <t>Up</t>
  </si>
  <si>
    <t>Down</t>
  </si>
  <si>
    <t>VAT</t>
  </si>
  <si>
    <t>VAT applied on One - Off Costs</t>
  </si>
  <si>
    <t>VDR Sale of collaterals</t>
  </si>
  <si>
    <t>VDR Voluntary payments</t>
  </si>
  <si>
    <t xml:space="preserve">Assumed Voluntary payments </t>
  </si>
  <si>
    <t>Carry</t>
  </si>
  <si>
    <t>Carry 1</t>
  </si>
  <si>
    <t>Net CF after Carry 1</t>
  </si>
  <si>
    <t>Carry 2</t>
  </si>
  <si>
    <t>Net CF after Carry 2</t>
  </si>
  <si>
    <t>Net collections after tax and carry</t>
  </si>
  <si>
    <t>Principal Left</t>
  </si>
  <si>
    <t>Interest Left</t>
  </si>
  <si>
    <t>Tax on Risk Premium</t>
  </si>
  <si>
    <t>Interest Paid</t>
  </si>
  <si>
    <t>Interest Due (net)</t>
  </si>
  <si>
    <t>Principal Paid</t>
  </si>
  <si>
    <t>Annual Interest Rate</t>
  </si>
  <si>
    <t>Daily Interest Rate</t>
  </si>
  <si>
    <t>for the loan provided by Delta</t>
  </si>
  <si>
    <t>calculated from Annual Int. R.</t>
  </si>
  <si>
    <t>SPV OPEX Local</t>
  </si>
  <si>
    <t>Monthly SPV OPEX Local</t>
  </si>
  <si>
    <t>NPV - Local SPV</t>
  </si>
  <si>
    <t>Gross</t>
  </si>
  <si>
    <t>Net</t>
  </si>
  <si>
    <t>Risk Premium Local</t>
  </si>
  <si>
    <t>EUR</t>
  </si>
  <si>
    <t>Carry Threshold 1</t>
  </si>
  <si>
    <t>Carry after Threshold 1</t>
  </si>
  <si>
    <t>Carry Threshold 2</t>
  </si>
  <si>
    <t>Carry after Threshold 2</t>
  </si>
  <si>
    <t>of collections</t>
  </si>
  <si>
    <t>Carry Catch-up 1</t>
  </si>
  <si>
    <t>Carry Catch-up 2</t>
  </si>
  <si>
    <t>applied on FMF</t>
  </si>
  <si>
    <t>SPV OPEX 2nd Layer</t>
  </si>
  <si>
    <t>FMF 2nd Layer</t>
  </si>
  <si>
    <t>SPV OPEX and FMF 2nd Layer paid until month X</t>
  </si>
  <si>
    <t>SICAV Costs</t>
  </si>
  <si>
    <t>2nd Layer</t>
  </si>
  <si>
    <t>SICAV</t>
  </si>
  <si>
    <t>of NCF</t>
  </si>
  <si>
    <t>(cost of servicer)</t>
  </si>
  <si>
    <t>Income tax (CIT)</t>
  </si>
  <si>
    <t>SPV OPEX 
2nd Layer</t>
  </si>
  <si>
    <t>NPV - SICAV</t>
  </si>
  <si>
    <t>Net CF 2nd Layer incoming</t>
  </si>
  <si>
    <t>Net CF SICAV incoming</t>
  </si>
  <si>
    <t>Additional costs paid until month X</t>
  </si>
  <si>
    <t>Additional costs SICAV</t>
  </si>
  <si>
    <t>Taxes + 2nd Layer + SICAV</t>
  </si>
  <si>
    <t>Gross Multiple</t>
  </si>
  <si>
    <t>Assumed Sale of collaterals</t>
  </si>
  <si>
    <t>Income Tax (CIT)</t>
  </si>
  <si>
    <t>Additional Costs SICAV</t>
  </si>
  <si>
    <t xml:space="preserve">Recovery Rate </t>
  </si>
  <si>
    <t>Weighted Average Life</t>
  </si>
  <si>
    <t>WHT Fixed Interest</t>
  </si>
  <si>
    <t>WHT Variable Interest</t>
  </si>
  <si>
    <t>Variable Interest</t>
  </si>
  <si>
    <t>of NPV (monthly rate)</t>
  </si>
  <si>
    <t>Net CF local after taxes</t>
  </si>
  <si>
    <t>Entity Liquidation Costs</t>
  </si>
  <si>
    <t>WHT on Loan Interest</t>
  </si>
  <si>
    <t>of gross interest paid</t>
  </si>
  <si>
    <t>GC Total (after WHT on Interesat)</t>
  </si>
  <si>
    <t>Engagement Fee (DD+Closing)</t>
  </si>
  <si>
    <t>MSF + VAT + Local Fees</t>
  </si>
  <si>
    <t>MSF prepaid</t>
  </si>
  <si>
    <t>Borrower's Costs</t>
  </si>
  <si>
    <t>incl. CIT</t>
  </si>
  <si>
    <t>MIP Subscription Costs</t>
  </si>
  <si>
    <t>MIP Expenses</t>
  </si>
  <si>
    <t>Facility Agent Fee</t>
  </si>
  <si>
    <t>SPV OPEX and FAF paid until month X</t>
  </si>
  <si>
    <t>VAT on FAF</t>
  </si>
  <si>
    <t>Local SPV</t>
  </si>
  <si>
    <t>Agent Fee</t>
  </si>
  <si>
    <t>VAT on Agent Fee</t>
  </si>
  <si>
    <t>applied on Agent Fee</t>
  </si>
  <si>
    <t>VAT applied on X% of Agent Fee</t>
  </si>
  <si>
    <t>Agent Fee TECH</t>
  </si>
  <si>
    <t>Underwriting Fee</t>
  </si>
  <si>
    <t>% of PP</t>
  </si>
  <si>
    <t>Engagement Fee</t>
  </si>
  <si>
    <t>APS Fees</t>
  </si>
  <si>
    <t>Current Year</t>
  </si>
  <si>
    <t>APS fees total</t>
  </si>
  <si>
    <t>New AMF total</t>
  </si>
  <si>
    <t>APSI fees total</t>
  </si>
  <si>
    <t>Arrangement Fee</t>
  </si>
  <si>
    <t>Interest Rate</t>
  </si>
  <si>
    <t>Funding Date</t>
  </si>
  <si>
    <t>Interest Repayment</t>
  </si>
  <si>
    <t>Maturity Date</t>
  </si>
  <si>
    <t>Loan Provided</t>
  </si>
  <si>
    <t>* "interest" or exact number</t>
  </si>
  <si>
    <t>* "bullet" or exact number</t>
  </si>
  <si>
    <t>Principal</t>
  </si>
  <si>
    <t>Repayment Date</t>
  </si>
  <si>
    <t>Amount*</t>
  </si>
  <si>
    <t>Repayment Interest</t>
  </si>
  <si>
    <t>Repayment PV</t>
  </si>
  <si>
    <t>GC</t>
  </si>
  <si>
    <t>#</t>
  </si>
  <si>
    <t>lump-sum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</si>
</sst>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0.0000"/>
    <numFmt numFmtId="165" formatCode="0.0%"/>
    <numFmt numFmtId="166" formatCode="_(* #,##0_);_(* \(#,##0\);_(* &quot;-&quot;_);@_)"/>
    <numFmt numFmtId="167" formatCode="[$-409]mmm\-yy;@"/>
    <numFmt numFmtId="168" formatCode="_(* #,##0.00_);_(* \(#,##0.00\);_(* &quot;-&quot;_);@_)"/>
    <numFmt numFmtId="169" formatCode="#,##0.0"/>
    <numFmt numFmtId="170" formatCode="[$-409]d\-mmm\-yy;@"/>
    <numFmt numFmtId="171" formatCode="_(* #,##0.00_);_(* \(#,##0.00\);_(* &quot;-&quot;??_);_(@_)"/>
    <numFmt numFmtId="172" formatCode="_(#,##0_);[Red]\(#,##0\);_(&quot;-&quot;??_)"/>
    <numFmt numFmtId="173" formatCode="0.000%"/>
    <numFmt numFmtId="174" formatCode="0.0"/>
  </numFmts>
  <fonts count="57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10"/>
      <color rgb="FFE83E33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10"/>
      <color theme="0"/>
      <name val="Arial"/>
      <family val="2"/>
      <charset val="238"/>
    </font>
    <font>
      <sz val="10"/>
      <color theme="1"/>
      <name val="Arial"/>
      <family val="2"/>
    </font>
    <font>
      <b/>
      <sz val="12"/>
      <name val="Arial"/>
      <family val="2"/>
      <charset val="238"/>
    </font>
    <font>
      <sz val="10"/>
      <color rgb="FF333333"/>
      <name val="Arial"/>
      <family val="2"/>
      <charset val="238"/>
    </font>
    <font>
      <b/>
      <sz val="12"/>
      <color rgb="FFC00000"/>
      <name val="Arial"/>
      <family val="2"/>
      <charset val="238"/>
    </font>
    <font>
      <b/>
      <sz val="10"/>
      <color rgb="FFC00000"/>
      <name val="Arial"/>
      <family val="2"/>
      <charset val="238"/>
    </font>
    <font>
      <sz val="10"/>
      <color rgb="FFFF0000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11"/>
      <color theme="0"/>
      <name val="Arial"/>
      <family val="2"/>
      <charset val="238"/>
    </font>
    <font>
      <b/>
      <sz val="11"/>
      <color theme="1"/>
      <name val="Arial"/>
      <family val="2"/>
      <charset val="238"/>
    </font>
    <font>
      <sz val="11"/>
      <name val="Arial"/>
      <family val="2"/>
      <charset val="238"/>
    </font>
    <font>
      <i/>
      <sz val="8"/>
      <color theme="1"/>
      <name val="Arial"/>
      <family val="2"/>
      <charset val="238"/>
    </font>
    <font>
      <sz val="10"/>
      <color theme="0"/>
      <name val="Arial"/>
      <family val="2"/>
      <charset val="238"/>
    </font>
    <font>
      <sz val="10"/>
      <color rgb="FF0070C0"/>
      <name val="Arial"/>
      <family val="2"/>
      <charset val="238"/>
    </font>
    <font>
      <sz val="10"/>
      <color rgb="FF005864"/>
      <name val="Arial"/>
      <family val="2"/>
      <charset val="238"/>
    </font>
    <font>
      <b/>
      <sz val="11"/>
      <color rgb="FF005864"/>
      <name val="Arial"/>
      <family val="2"/>
      <charset val="238"/>
    </font>
    <font>
      <i/>
      <sz val="10"/>
      <color rgb="FF0070C0"/>
      <name val="Arial"/>
      <family val="2"/>
      <charset val="238"/>
    </font>
    <font>
      <i/>
      <sz val="10"/>
      <color rgb="FF3366CC"/>
      <name val="Arial"/>
      <family val="2"/>
      <charset val="238"/>
    </font>
    <font>
      <b/>
      <sz val="16"/>
      <color rgb="FFE83E33"/>
      <name val="Arial"/>
      <family val="2"/>
      <charset val="238"/>
    </font>
    <font>
      <sz val="9"/>
      <color theme="1"/>
      <name val="Arial"/>
      <family val="2"/>
    </font>
    <font>
      <b/>
      <sz val="11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0"/>
      <name val="Arial"/>
      <family val="2"/>
      <charset val="238"/>
    </font>
    <font>
      <b/>
      <i/>
      <sz val="10"/>
      <name val="Arial"/>
      <family val="2"/>
      <charset val="238"/>
    </font>
    <font>
      <b/>
      <sz val="10"/>
      <name val="Arial"/>
      <family val="2"/>
      <charset val="238"/>
    </font>
    <font>
      <sz val="11"/>
      <color theme="1"/>
      <name val="Symbol"/>
      <family val="1"/>
      <charset val="2"/>
    </font>
    <font>
      <sz val="10"/>
      <color theme="4"/>
      <name val="Calibri"/>
      <family val="2"/>
    </font>
    <font>
      <sz val="10"/>
      <color theme="1" tint="0.499984740745262"/>
      <name val="Arial"/>
      <family val="2"/>
      <charset val="238"/>
    </font>
    <font>
      <i/>
      <sz val="10"/>
      <color theme="1" tint="0.499984740745262"/>
      <name val="Arial"/>
      <family val="2"/>
      <charset val="238"/>
    </font>
    <font>
      <sz val="11"/>
      <color rgb="FF468E99"/>
      <name val="Arial"/>
      <family val="2"/>
      <charset val="238"/>
    </font>
    <font>
      <sz val="11"/>
      <color rgb="FFE83E33"/>
      <name val="Arial"/>
      <family val="2"/>
      <charset val="238"/>
    </font>
    <font>
      <b/>
      <sz val="14"/>
      <color theme="1"/>
      <name val="Arial"/>
      <family val="2"/>
      <charset val="238"/>
    </font>
    <font>
      <sz val="11"/>
      <color rgb="FFFF0000"/>
      <name val="Arial"/>
      <family val="2"/>
      <charset val="238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sz val="9"/>
      <color rgb="FFE83E33"/>
      <name val="Arial"/>
      <family val="2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468E99"/>
        <bgColor indexed="64"/>
      </patternFill>
    </fill>
    <fill>
      <patternFill patternType="solid">
        <fgColor rgb="FF80B5C0"/>
        <bgColor indexed="64"/>
      </patternFill>
    </fill>
    <fill>
      <patternFill patternType="solid">
        <fgColor rgb="FFE83E33"/>
        <bgColor indexed="64"/>
      </patternFill>
    </fill>
    <fill>
      <patternFill patternType="solid">
        <fgColor rgb="FFD1E2E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rgb="FFC00000"/>
      </top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rgb="FFC00000"/>
      </left>
      <right style="medium">
        <color indexed="64"/>
      </right>
      <top style="medium">
        <color rgb="FFC00000"/>
      </top>
      <bottom/>
      <diagonal/>
    </border>
    <border>
      <left style="medium">
        <color rgb="FFC00000"/>
      </left>
      <right style="medium">
        <color indexed="64"/>
      </right>
      <top/>
      <bottom/>
      <diagonal/>
    </border>
    <border>
      <left style="medium">
        <color rgb="FFC00000"/>
      </left>
      <right style="medium">
        <color indexed="64"/>
      </right>
      <top/>
      <bottom style="medium">
        <color rgb="FFC00000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9" fontId="7" fillId="0" borderId="0" applyFont="0" applyFill="0" applyBorder="0" applyAlignment="0" applyProtection="0"/>
    <xf numFmtId="0" fontId="9" fillId="0" borderId="0"/>
    <xf numFmtId="0" fontId="10" fillId="0" borderId="0"/>
    <xf numFmtId="166" fontId="11" fillId="0" borderId="0"/>
    <xf numFmtId="9" fontId="7" fillId="0" borderId="0" applyFont="0" applyFill="0" applyBorder="0" applyAlignment="0" applyProtection="0"/>
    <xf numFmtId="0" fontId="7" fillId="0" borderId="0"/>
    <xf numFmtId="9" fontId="18" fillId="0" borderId="0" applyFont="0" applyFill="0" applyBorder="0" applyAlignment="0" applyProtection="0"/>
    <xf numFmtId="0" fontId="6" fillId="0" borderId="0"/>
    <xf numFmtId="0" fontId="5" fillId="0" borderId="0"/>
    <xf numFmtId="0" fontId="7" fillId="0" borderId="0"/>
    <xf numFmtId="0" fontId="4" fillId="0" borderId="0"/>
    <xf numFmtId="0" fontId="36" fillId="0" borderId="0"/>
    <xf numFmtId="166" fontId="11" fillId="0" borderId="0"/>
    <xf numFmtId="171" fontId="10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4" fillId="0" borderId="0"/>
  </cellStyleXfs>
  <cellXfs count="370">
    <xf numFmtId="0" fontId="0" fillId="0" borderId="0" xfId="0"/>
    <xf numFmtId="166" fontId="8" fillId="0" borderId="0" xfId="4" applyFont="1"/>
    <xf numFmtId="10" fontId="12" fillId="0" borderId="1" xfId="5" applyNumberFormat="1" applyFont="1" applyFill="1" applyBorder="1"/>
    <xf numFmtId="3" fontId="12" fillId="0" borderId="2" xfId="6" applyNumberFormat="1" applyFont="1" applyBorder="1"/>
    <xf numFmtId="0" fontId="12" fillId="0" borderId="2" xfId="6" applyFont="1" applyBorder="1"/>
    <xf numFmtId="4" fontId="12" fillId="0" borderId="2" xfId="6" applyNumberFormat="1" applyFont="1" applyBorder="1"/>
    <xf numFmtId="3" fontId="12" fillId="0" borderId="0" xfId="6" applyNumberFormat="1" applyFont="1"/>
    <xf numFmtId="167" fontId="12" fillId="0" borderId="2" xfId="6" applyNumberFormat="1" applyFont="1" applyBorder="1" applyAlignment="1">
      <alignment horizontal="center"/>
    </xf>
    <xf numFmtId="0" fontId="12" fillId="0" borderId="3" xfId="6" applyFont="1" applyBorder="1" applyAlignment="1">
      <alignment horizontal="center"/>
    </xf>
    <xf numFmtId="0" fontId="12" fillId="0" borderId="0" xfId="6" applyFont="1"/>
    <xf numFmtId="10" fontId="12" fillId="0" borderId="4" xfId="5" applyNumberFormat="1" applyFont="1" applyFill="1" applyBorder="1"/>
    <xf numFmtId="4" fontId="12" fillId="0" borderId="0" xfId="6" applyNumberFormat="1" applyFont="1"/>
    <xf numFmtId="167" fontId="12" fillId="0" borderId="0" xfId="6" applyNumberFormat="1" applyFont="1" applyAlignment="1">
      <alignment horizontal="center"/>
    </xf>
    <xf numFmtId="0" fontId="12" fillId="0" borderId="5" xfId="6" applyFont="1" applyBorder="1" applyAlignment="1">
      <alignment horizontal="center"/>
    </xf>
    <xf numFmtId="0" fontId="13" fillId="0" borderId="0" xfId="6" applyFont="1"/>
    <xf numFmtId="9" fontId="12" fillId="0" borderId="4" xfId="5" applyFont="1" applyFill="1" applyBorder="1"/>
    <xf numFmtId="3" fontId="12" fillId="0" borderId="6" xfId="6" applyNumberFormat="1" applyFont="1" applyBorder="1"/>
    <xf numFmtId="0" fontId="16" fillId="0" borderId="0" xfId="6" applyFont="1" applyAlignment="1">
      <alignment horizontal="center" vertical="center"/>
    </xf>
    <xf numFmtId="0" fontId="17" fillId="2" borderId="7" xfId="6" applyFont="1" applyFill="1" applyBorder="1" applyAlignment="1">
      <alignment horizontal="left" vertical="top" wrapText="1"/>
    </xf>
    <xf numFmtId="0" fontId="17" fillId="2" borderId="8" xfId="6" applyFont="1" applyFill="1" applyBorder="1" applyAlignment="1">
      <alignment horizontal="left" vertical="top" wrapText="1"/>
    </xf>
    <xf numFmtId="10" fontId="19" fillId="0" borderId="10" xfId="7" applyNumberFormat="1" applyFont="1" applyFill="1" applyBorder="1"/>
    <xf numFmtId="166" fontId="19" fillId="0" borderId="11" xfId="4" applyFont="1" applyBorder="1"/>
    <xf numFmtId="3" fontId="19" fillId="0" borderId="11" xfId="4" applyNumberFormat="1" applyFont="1" applyBorder="1"/>
    <xf numFmtId="168" fontId="19" fillId="0" borderId="11" xfId="4" applyNumberFormat="1" applyFont="1" applyBorder="1"/>
    <xf numFmtId="166" fontId="19" fillId="0" borderId="12" xfId="4" applyFont="1" applyBorder="1"/>
    <xf numFmtId="0" fontId="20" fillId="0" borderId="0" xfId="6" applyFont="1"/>
    <xf numFmtId="0" fontId="22" fillId="0" borderId="0" xfId="6" applyFont="1"/>
    <xf numFmtId="0" fontId="21" fillId="0" borderId="0" xfId="6" applyFont="1"/>
    <xf numFmtId="10" fontId="12" fillId="0" borderId="0" xfId="6" applyNumberFormat="1" applyFont="1"/>
    <xf numFmtId="0" fontId="12" fillId="0" borderId="13" xfId="6" applyFont="1" applyBorder="1"/>
    <xf numFmtId="0" fontId="16" fillId="0" borderId="14" xfId="6" applyFont="1" applyBorder="1" applyAlignment="1">
      <alignment horizontal="center" vertical="center"/>
    </xf>
    <xf numFmtId="0" fontId="12" fillId="0" borderId="15" xfId="6" applyFont="1" applyBorder="1"/>
    <xf numFmtId="3" fontId="23" fillId="0" borderId="0" xfId="6" applyNumberFormat="1" applyFont="1"/>
    <xf numFmtId="0" fontId="12" fillId="0" borderId="16" xfId="6" applyFont="1" applyBorder="1"/>
    <xf numFmtId="0" fontId="12" fillId="0" borderId="3" xfId="6" applyFont="1" applyBorder="1"/>
    <xf numFmtId="0" fontId="12" fillId="0" borderId="18" xfId="6" applyFont="1" applyBorder="1"/>
    <xf numFmtId="0" fontId="16" fillId="0" borderId="0" xfId="6" applyFont="1"/>
    <xf numFmtId="0" fontId="24" fillId="0" borderId="19" xfId="6" applyFont="1" applyBorder="1"/>
    <xf numFmtId="166" fontId="25" fillId="3" borderId="19" xfId="4" applyFont="1" applyFill="1" applyBorder="1"/>
    <xf numFmtId="0" fontId="12" fillId="0" borderId="5" xfId="6" applyFont="1" applyBorder="1"/>
    <xf numFmtId="164" fontId="23" fillId="0" borderId="0" xfId="6" applyNumberFormat="1" applyFont="1"/>
    <xf numFmtId="0" fontId="24" fillId="0" borderId="22" xfId="6" applyFont="1" applyBorder="1"/>
    <xf numFmtId="0" fontId="27" fillId="0" borderId="0" xfId="6" applyFont="1"/>
    <xf numFmtId="10" fontId="12" fillId="0" borderId="19" xfId="6" applyNumberFormat="1" applyFont="1" applyBorder="1"/>
    <xf numFmtId="0" fontId="26" fillId="0" borderId="5" xfId="6" applyFont="1" applyBorder="1"/>
    <xf numFmtId="0" fontId="14" fillId="0" borderId="0" xfId="6" applyFont="1"/>
    <xf numFmtId="10" fontId="14" fillId="0" borderId="0" xfId="6" applyNumberFormat="1" applyFont="1"/>
    <xf numFmtId="164" fontId="14" fillId="0" borderId="0" xfId="6" applyNumberFormat="1" applyFont="1"/>
    <xf numFmtId="10" fontId="25" fillId="3" borderId="20" xfId="5" applyNumberFormat="1" applyFont="1" applyFill="1" applyBorder="1"/>
    <xf numFmtId="166" fontId="25" fillId="4" borderId="20" xfId="4" applyFont="1" applyFill="1" applyBorder="1"/>
    <xf numFmtId="0" fontId="16" fillId="0" borderId="18" xfId="6" applyFont="1" applyBorder="1"/>
    <xf numFmtId="0" fontId="29" fillId="0" borderId="0" xfId="6" applyFont="1"/>
    <xf numFmtId="0" fontId="24" fillId="0" borderId="23" xfId="6" applyFont="1" applyBorder="1"/>
    <xf numFmtId="10" fontId="14" fillId="0" borderId="19" xfId="6" applyNumberFormat="1" applyFont="1" applyBorder="1"/>
    <xf numFmtId="0" fontId="14" fillId="0" borderId="5" xfId="6" applyFont="1" applyBorder="1"/>
    <xf numFmtId="169" fontId="24" fillId="0" borderId="23" xfId="6" applyNumberFormat="1" applyFont="1" applyBorder="1"/>
    <xf numFmtId="166" fontId="25" fillId="2" borderId="25" xfId="4" applyFont="1" applyFill="1" applyBorder="1"/>
    <xf numFmtId="166" fontId="25" fillId="2" borderId="12" xfId="4" applyFont="1" applyFill="1" applyBorder="1"/>
    <xf numFmtId="0" fontId="16" fillId="0" borderId="0" xfId="6" applyFont="1" applyAlignment="1">
      <alignment horizontal="center"/>
    </xf>
    <xf numFmtId="0" fontId="12" fillId="0" borderId="28" xfId="6" applyFont="1" applyBorder="1"/>
    <xf numFmtId="0" fontId="12" fillId="0" borderId="30" xfId="6" applyFont="1" applyBorder="1"/>
    <xf numFmtId="0" fontId="12" fillId="0" borderId="32" xfId="6" applyFont="1" applyBorder="1"/>
    <xf numFmtId="0" fontId="16" fillId="0" borderId="0" xfId="6" applyFont="1" applyAlignment="1">
      <alignment horizontal="left"/>
    </xf>
    <xf numFmtId="166" fontId="31" fillId="0" borderId="27" xfId="4" applyFont="1" applyBorder="1"/>
    <xf numFmtId="0" fontId="12" fillId="0" borderId="28" xfId="6" applyFont="1" applyBorder="1" applyAlignment="1">
      <alignment horizontal="left"/>
    </xf>
    <xf numFmtId="0" fontId="26" fillId="0" borderId="31" xfId="6" applyFont="1" applyBorder="1" applyAlignment="1">
      <alignment horizontal="left"/>
    </xf>
    <xf numFmtId="166" fontId="31" fillId="0" borderId="19" xfId="4" applyFont="1" applyBorder="1"/>
    <xf numFmtId="0" fontId="12" fillId="0" borderId="31" xfId="6" applyFont="1" applyBorder="1" applyAlignment="1">
      <alignment horizontal="left"/>
    </xf>
    <xf numFmtId="0" fontId="26" fillId="0" borderId="32" xfId="6" applyFont="1" applyBorder="1" applyAlignment="1">
      <alignment horizontal="left"/>
    </xf>
    <xf numFmtId="170" fontId="33" fillId="0" borderId="0" xfId="6" applyNumberFormat="1" applyFont="1" applyAlignment="1">
      <alignment horizontal="left"/>
    </xf>
    <xf numFmtId="0" fontId="24" fillId="0" borderId="0" xfId="6" applyFont="1"/>
    <xf numFmtId="0" fontId="12" fillId="0" borderId="31" xfId="6" applyFont="1" applyBorder="1"/>
    <xf numFmtId="0" fontId="34" fillId="0" borderId="0" xfId="6" applyFont="1"/>
    <xf numFmtId="0" fontId="12" fillId="0" borderId="33" xfId="6" applyFont="1" applyBorder="1"/>
    <xf numFmtId="0" fontId="28" fillId="0" borderId="0" xfId="6" applyFont="1" applyAlignment="1">
      <alignment horizontal="left"/>
    </xf>
    <xf numFmtId="0" fontId="28" fillId="0" borderId="0" xfId="6" applyFont="1" applyAlignment="1">
      <alignment horizontal="left" indent="1"/>
    </xf>
    <xf numFmtId="0" fontId="28" fillId="0" borderId="0" xfId="6" applyFont="1"/>
    <xf numFmtId="0" fontId="12" fillId="0" borderId="38" xfId="6" applyFont="1" applyBorder="1"/>
    <xf numFmtId="0" fontId="12" fillId="0" borderId="39" xfId="6" applyFont="1" applyBorder="1"/>
    <xf numFmtId="3" fontId="8" fillId="0" borderId="0" xfId="4" applyNumberFormat="1" applyFont="1"/>
    <xf numFmtId="3" fontId="13" fillId="0" borderId="0" xfId="6" applyNumberFormat="1" applyFont="1"/>
    <xf numFmtId="0" fontId="12" fillId="0" borderId="47" xfId="6" applyFont="1" applyBorder="1"/>
    <xf numFmtId="3" fontId="12" fillId="0" borderId="46" xfId="6" applyNumberFormat="1" applyFont="1" applyBorder="1"/>
    <xf numFmtId="9" fontId="12" fillId="0" borderId="1" xfId="5" applyFont="1" applyFill="1" applyBorder="1"/>
    <xf numFmtId="3" fontId="8" fillId="0" borderId="50" xfId="13" applyNumberFormat="1" applyFont="1" applyBorder="1"/>
    <xf numFmtId="0" fontId="17" fillId="3" borderId="8" xfId="6" applyFont="1" applyFill="1" applyBorder="1" applyAlignment="1">
      <alignment horizontal="left" vertical="top" wrapText="1"/>
    </xf>
    <xf numFmtId="3" fontId="19" fillId="0" borderId="12" xfId="4" applyNumberFormat="1" applyFont="1" applyBorder="1"/>
    <xf numFmtId="3" fontId="19" fillId="0" borderId="10" xfId="4" applyNumberFormat="1" applyFont="1" applyBorder="1"/>
    <xf numFmtId="0" fontId="17" fillId="2" borderId="55" xfId="6" applyFont="1" applyFill="1" applyBorder="1" applyAlignment="1">
      <alignment horizontal="left" vertical="top" wrapText="1"/>
    </xf>
    <xf numFmtId="3" fontId="12" fillId="0" borderId="5" xfId="6" applyNumberFormat="1" applyFont="1" applyBorder="1"/>
    <xf numFmtId="3" fontId="12" fillId="0" borderId="4" xfId="6" applyNumberFormat="1" applyFont="1" applyBorder="1"/>
    <xf numFmtId="3" fontId="12" fillId="0" borderId="3" xfId="6" applyNumberFormat="1" applyFont="1" applyBorder="1"/>
    <xf numFmtId="3" fontId="12" fillId="0" borderId="1" xfId="6" applyNumberFormat="1" applyFont="1" applyBorder="1"/>
    <xf numFmtId="10" fontId="13" fillId="0" borderId="0" xfId="1" applyNumberFormat="1" applyFont="1" applyFill="1" applyBorder="1"/>
    <xf numFmtId="4" fontId="13" fillId="0" borderId="0" xfId="6" applyNumberFormat="1" applyFont="1"/>
    <xf numFmtId="0" fontId="13" fillId="0" borderId="0" xfId="6" applyFont="1" applyAlignment="1">
      <alignment horizontal="right"/>
    </xf>
    <xf numFmtId="166" fontId="25" fillId="2" borderId="9" xfId="4" applyFont="1" applyFill="1" applyBorder="1"/>
    <xf numFmtId="166" fontId="25" fillId="2" borderId="56" xfId="4" applyFont="1" applyFill="1" applyBorder="1"/>
    <xf numFmtId="0" fontId="38" fillId="0" borderId="58" xfId="6" applyFont="1" applyBorder="1" applyAlignment="1">
      <alignment vertical="center" textRotation="90" wrapText="1"/>
    </xf>
    <xf numFmtId="0" fontId="24" fillId="0" borderId="20" xfId="6" applyFont="1" applyBorder="1"/>
    <xf numFmtId="0" fontId="37" fillId="5" borderId="5" xfId="6" applyFont="1" applyFill="1" applyBorder="1"/>
    <xf numFmtId="0" fontId="39" fillId="5" borderId="22" xfId="6" applyFont="1" applyFill="1" applyBorder="1"/>
    <xf numFmtId="0" fontId="14" fillId="5" borderId="5" xfId="6" applyFont="1" applyFill="1" applyBorder="1"/>
    <xf numFmtId="0" fontId="37" fillId="5" borderId="20" xfId="6" applyFont="1" applyFill="1" applyBorder="1"/>
    <xf numFmtId="166" fontId="37" fillId="5" borderId="19" xfId="4" applyFont="1" applyFill="1" applyBorder="1"/>
    <xf numFmtId="3" fontId="14" fillId="5" borderId="21" xfId="6" applyNumberFormat="1" applyFont="1" applyFill="1" applyBorder="1"/>
    <xf numFmtId="4" fontId="14" fillId="5" borderId="19" xfId="6" applyNumberFormat="1" applyFont="1" applyFill="1" applyBorder="1"/>
    <xf numFmtId="169" fontId="14" fillId="5" borderId="20" xfId="6" applyNumberFormat="1" applyFont="1" applyFill="1" applyBorder="1"/>
    <xf numFmtId="0" fontId="39" fillId="5" borderId="20" xfId="6" applyFont="1" applyFill="1" applyBorder="1"/>
    <xf numFmtId="10" fontId="12" fillId="0" borderId="21" xfId="6" applyNumberFormat="1" applyFont="1" applyBorder="1"/>
    <xf numFmtId="0" fontId="37" fillId="5" borderId="9" xfId="6" applyFont="1" applyFill="1" applyBorder="1"/>
    <xf numFmtId="10" fontId="37" fillId="5" borderId="56" xfId="5" applyNumberFormat="1" applyFont="1" applyFill="1" applyBorder="1"/>
    <xf numFmtId="0" fontId="40" fillId="5" borderId="24" xfId="6" applyFont="1" applyFill="1" applyBorder="1"/>
    <xf numFmtId="0" fontId="41" fillId="5" borderId="5" xfId="6" applyFont="1" applyFill="1" applyBorder="1"/>
    <xf numFmtId="0" fontId="41" fillId="5" borderId="19" xfId="6" applyFont="1" applyFill="1" applyBorder="1" applyAlignment="1">
      <alignment horizontal="right"/>
    </xf>
    <xf numFmtId="0" fontId="40" fillId="5" borderId="22" xfId="6" applyFont="1" applyFill="1" applyBorder="1"/>
    <xf numFmtId="0" fontId="40" fillId="5" borderId="19" xfId="6" applyFont="1" applyFill="1" applyBorder="1"/>
    <xf numFmtId="3" fontId="8" fillId="0" borderId="53" xfId="13" applyNumberFormat="1" applyFont="1" applyBorder="1"/>
    <xf numFmtId="166" fontId="8" fillId="0" borderId="43" xfId="4" applyFont="1" applyBorder="1"/>
    <xf numFmtId="166" fontId="8" fillId="0" borderId="45" xfId="4" applyFont="1" applyBorder="1"/>
    <xf numFmtId="166" fontId="8" fillId="0" borderId="44" xfId="4" applyFont="1" applyBorder="1"/>
    <xf numFmtId="0" fontId="13" fillId="0" borderId="16" xfId="6" applyFont="1" applyBorder="1"/>
    <xf numFmtId="166" fontId="13" fillId="0" borderId="0" xfId="6" applyNumberFormat="1" applyFont="1"/>
    <xf numFmtId="0" fontId="12" fillId="0" borderId="0" xfId="10" applyFont="1"/>
    <xf numFmtId="10" fontId="43" fillId="0" borderId="0" xfId="1" applyNumberFormat="1" applyFont="1" applyBorder="1"/>
    <xf numFmtId="3" fontId="19" fillId="0" borderId="9" xfId="1" applyNumberFormat="1" applyFont="1" applyFill="1" applyBorder="1" applyAlignment="1">
      <alignment horizontal="right"/>
    </xf>
    <xf numFmtId="3" fontId="19" fillId="0" borderId="46" xfId="15" applyNumberFormat="1" applyFont="1" applyFill="1" applyBorder="1" applyAlignment="1">
      <alignment horizontal="right"/>
    </xf>
    <xf numFmtId="10" fontId="19" fillId="0" borderId="46" xfId="1" applyNumberFormat="1" applyFont="1" applyFill="1" applyBorder="1" applyAlignment="1">
      <alignment horizontal="right"/>
    </xf>
    <xf numFmtId="10" fontId="19" fillId="0" borderId="48" xfId="1" applyNumberFormat="1" applyFont="1" applyFill="1" applyBorder="1" applyAlignment="1">
      <alignment horizontal="right"/>
    </xf>
    <xf numFmtId="3" fontId="12" fillId="0" borderId="5" xfId="16" applyNumberFormat="1" applyFont="1" applyBorder="1"/>
    <xf numFmtId="3" fontId="12" fillId="0" borderId="0" xfId="16" applyNumberFormat="1" applyFont="1"/>
    <xf numFmtId="10" fontId="12" fillId="0" borderId="4" xfId="1" applyNumberFormat="1" applyFont="1" applyFill="1" applyBorder="1"/>
    <xf numFmtId="3" fontId="12" fillId="0" borderId="3" xfId="16" applyNumberFormat="1" applyFont="1" applyBorder="1"/>
    <xf numFmtId="3" fontId="12" fillId="0" borderId="2" xfId="16" applyNumberFormat="1" applyFont="1" applyBorder="1"/>
    <xf numFmtId="10" fontId="12" fillId="0" borderId="1" xfId="1" applyNumberFormat="1" applyFont="1" applyFill="1" applyBorder="1"/>
    <xf numFmtId="0" fontId="12" fillId="0" borderId="1" xfId="16" applyFont="1" applyBorder="1"/>
    <xf numFmtId="3" fontId="19" fillId="0" borderId="25" xfId="4" applyNumberFormat="1" applyFont="1" applyBorder="1"/>
    <xf numFmtId="3" fontId="12" fillId="0" borderId="63" xfId="6" applyNumberFormat="1" applyFont="1" applyBorder="1"/>
    <xf numFmtId="3" fontId="12" fillId="0" borderId="20" xfId="6" applyNumberFormat="1" applyFont="1" applyBorder="1"/>
    <xf numFmtId="3" fontId="12" fillId="0" borderId="17" xfId="6" applyNumberFormat="1" applyFont="1" applyBorder="1"/>
    <xf numFmtId="173" fontId="13" fillId="0" borderId="0" xfId="1" applyNumberFormat="1" applyFont="1" applyFill="1" applyBorder="1"/>
    <xf numFmtId="166" fontId="19" fillId="0" borderId="10" xfId="4" applyFont="1" applyBorder="1"/>
    <xf numFmtId="3" fontId="19" fillId="0" borderId="64" xfId="4" applyNumberFormat="1" applyFont="1" applyBorder="1"/>
    <xf numFmtId="3" fontId="19" fillId="0" borderId="65" xfId="4" applyNumberFormat="1" applyFont="1" applyBorder="1"/>
    <xf numFmtId="0" fontId="17" fillId="2" borderId="66" xfId="6" applyFont="1" applyFill="1" applyBorder="1" applyAlignment="1">
      <alignment horizontal="left" vertical="top" wrapText="1"/>
    </xf>
    <xf numFmtId="0" fontId="17" fillId="2" borderId="67" xfId="6" applyFont="1" applyFill="1" applyBorder="1" applyAlignment="1">
      <alignment horizontal="left" vertical="top" wrapText="1"/>
    </xf>
    <xf numFmtId="3" fontId="12" fillId="0" borderId="68" xfId="6" applyNumberFormat="1" applyFont="1" applyBorder="1"/>
    <xf numFmtId="3" fontId="12" fillId="0" borderId="69" xfId="6" applyNumberFormat="1" applyFont="1" applyBorder="1"/>
    <xf numFmtId="3" fontId="12" fillId="0" borderId="37" xfId="6" applyNumberFormat="1" applyFont="1" applyBorder="1"/>
    <xf numFmtId="3" fontId="12" fillId="0" borderId="36" xfId="6" applyNumberFormat="1" applyFont="1" applyBorder="1"/>
    <xf numFmtId="3" fontId="12" fillId="0" borderId="70" xfId="6" applyNumberFormat="1" applyFont="1" applyBorder="1"/>
    <xf numFmtId="3" fontId="12" fillId="0" borderId="71" xfId="6" applyNumberFormat="1" applyFont="1" applyBorder="1"/>
    <xf numFmtId="3" fontId="12" fillId="0" borderId="0" xfId="10" applyNumberFormat="1" applyFont="1"/>
    <xf numFmtId="0" fontId="13" fillId="0" borderId="0" xfId="6" applyFont="1" applyAlignment="1">
      <alignment horizontal="left"/>
    </xf>
    <xf numFmtId="166" fontId="12" fillId="0" borderId="0" xfId="6" applyNumberFormat="1" applyFont="1"/>
    <xf numFmtId="0" fontId="12" fillId="0" borderId="1" xfId="6" applyFont="1" applyBorder="1"/>
    <xf numFmtId="3" fontId="19" fillId="0" borderId="72" xfId="4" applyNumberFormat="1" applyFont="1" applyBorder="1"/>
    <xf numFmtId="0" fontId="17" fillId="2" borderId="73" xfId="6" applyFont="1" applyFill="1" applyBorder="1" applyAlignment="1">
      <alignment horizontal="left" vertical="top" wrapText="1"/>
    </xf>
    <xf numFmtId="3" fontId="12" fillId="0" borderId="74" xfId="6" applyNumberFormat="1" applyFont="1" applyBorder="1"/>
    <xf numFmtId="3" fontId="12" fillId="0" borderId="75" xfId="6" applyNumberFormat="1" applyFont="1" applyBorder="1"/>
    <xf numFmtId="3" fontId="12" fillId="0" borderId="76" xfId="6" applyNumberFormat="1" applyFont="1" applyBorder="1"/>
    <xf numFmtId="0" fontId="13" fillId="0" borderId="37" xfId="6" applyFont="1" applyBorder="1"/>
    <xf numFmtId="0" fontId="13" fillId="0" borderId="36" xfId="6" applyFont="1" applyBorder="1"/>
    <xf numFmtId="0" fontId="26" fillId="0" borderId="37" xfId="6" applyFont="1" applyBorder="1"/>
    <xf numFmtId="173" fontId="13" fillId="0" borderId="36" xfId="1" applyNumberFormat="1" applyFont="1" applyFill="1" applyBorder="1"/>
    <xf numFmtId="10" fontId="13" fillId="0" borderId="36" xfId="1" applyNumberFormat="1" applyFont="1" applyFill="1" applyBorder="1"/>
    <xf numFmtId="4" fontId="13" fillId="0" borderId="36" xfId="6" applyNumberFormat="1" applyFont="1" applyBorder="1"/>
    <xf numFmtId="0" fontId="13" fillId="0" borderId="36" xfId="6" applyFont="1" applyBorder="1" applyAlignment="1">
      <alignment horizontal="right"/>
    </xf>
    <xf numFmtId="0" fontId="13" fillId="0" borderId="35" xfId="6" applyFont="1" applyBorder="1"/>
    <xf numFmtId="0" fontId="13" fillId="0" borderId="34" xfId="6" applyFont="1" applyBorder="1" applyAlignment="1">
      <alignment horizontal="right"/>
    </xf>
    <xf numFmtId="0" fontId="49" fillId="0" borderId="37" xfId="6" applyFont="1" applyBorder="1"/>
    <xf numFmtId="0" fontId="49" fillId="0" borderId="36" xfId="6" applyFont="1" applyBorder="1" applyAlignment="1">
      <alignment horizontal="right"/>
    </xf>
    <xf numFmtId="166" fontId="8" fillId="0" borderId="6" xfId="4" applyFont="1" applyBorder="1"/>
    <xf numFmtId="0" fontId="17" fillId="2" borderId="77" xfId="6" applyFont="1" applyFill="1" applyBorder="1" applyAlignment="1">
      <alignment horizontal="left" vertical="top" wrapText="1"/>
    </xf>
    <xf numFmtId="0" fontId="27" fillId="0" borderId="37" xfId="6" applyFont="1" applyBorder="1"/>
    <xf numFmtId="0" fontId="27" fillId="0" borderId="36" xfId="6" applyFont="1" applyBorder="1" applyAlignment="1">
      <alignment horizontal="right"/>
    </xf>
    <xf numFmtId="0" fontId="27" fillId="0" borderId="35" xfId="6" applyFont="1" applyBorder="1"/>
    <xf numFmtId="0" fontId="27" fillId="0" borderId="34" xfId="6" applyFont="1" applyBorder="1" applyAlignment="1">
      <alignment horizontal="right"/>
    </xf>
    <xf numFmtId="0" fontId="16" fillId="2" borderId="55" xfId="6" applyFont="1" applyFill="1" applyBorder="1" applyAlignment="1">
      <alignment horizontal="center" vertical="center"/>
    </xf>
    <xf numFmtId="0" fontId="17" fillId="2" borderId="55" xfId="16" applyFont="1" applyFill="1" applyBorder="1" applyAlignment="1">
      <alignment horizontal="left" vertical="top" wrapText="1"/>
    </xf>
    <xf numFmtId="0" fontId="17" fillId="2" borderId="7" xfId="16" applyFont="1" applyFill="1" applyBorder="1" applyAlignment="1">
      <alignment horizontal="left" vertical="top" wrapText="1"/>
    </xf>
    <xf numFmtId="0" fontId="17" fillId="2" borderId="8" xfId="16" applyFont="1" applyFill="1" applyBorder="1" applyAlignment="1">
      <alignment horizontal="left" vertical="top" wrapText="1"/>
    </xf>
    <xf numFmtId="0" fontId="39" fillId="5" borderId="22" xfId="6" applyFont="1" applyFill="1" applyBorder="1" applyAlignment="1">
      <alignment horizontal="center"/>
    </xf>
    <xf numFmtId="0" fontId="46" fillId="0" borderId="16" xfId="6" applyFont="1" applyBorder="1" applyAlignment="1">
      <alignment vertical="center" textRotation="90"/>
    </xf>
    <xf numFmtId="0" fontId="47" fillId="0" borderId="16" xfId="6" applyFont="1" applyBorder="1" applyAlignment="1">
      <alignment vertical="center" textRotation="90" wrapText="1"/>
    </xf>
    <xf numFmtId="0" fontId="47" fillId="0" borderId="0" xfId="6" applyFont="1" applyAlignment="1">
      <alignment vertical="center" textRotation="90" wrapText="1"/>
    </xf>
    <xf numFmtId="174" fontId="8" fillId="0" borderId="0" xfId="4" applyNumberFormat="1" applyFont="1"/>
    <xf numFmtId="174" fontId="8" fillId="0" borderId="36" xfId="4" applyNumberFormat="1" applyFont="1" applyBorder="1"/>
    <xf numFmtId="174" fontId="8" fillId="0" borderId="49" xfId="13" applyNumberFormat="1" applyFont="1" applyBorder="1"/>
    <xf numFmtId="174" fontId="8" fillId="0" borderId="51" xfId="13" applyNumberFormat="1" applyFont="1" applyBorder="1"/>
    <xf numFmtId="174" fontId="8" fillId="0" borderId="54" xfId="13" applyNumberFormat="1" applyFont="1" applyBorder="1"/>
    <xf numFmtId="174" fontId="8" fillId="0" borderId="61" xfId="13" applyNumberFormat="1" applyFont="1" applyBorder="1"/>
    <xf numFmtId="174" fontId="8" fillId="0" borderId="42" xfId="4" applyNumberFormat="1" applyFont="1" applyBorder="1"/>
    <xf numFmtId="174" fontId="8" fillId="0" borderId="34" xfId="4" applyNumberFormat="1" applyFont="1" applyBorder="1"/>
    <xf numFmtId="164" fontId="13" fillId="0" borderId="0" xfId="6" applyNumberFormat="1" applyFont="1"/>
    <xf numFmtId="14" fontId="13" fillId="0" borderId="0" xfId="6" applyNumberFormat="1" applyFont="1"/>
    <xf numFmtId="10" fontId="30" fillId="0" borderId="0" xfId="0" applyNumberFormat="1" applyFont="1"/>
    <xf numFmtId="0" fontId="16" fillId="0" borderId="0" xfId="0" applyFont="1" applyAlignment="1">
      <alignment horizontal="right" vertical="center"/>
    </xf>
    <xf numFmtId="172" fontId="12" fillId="0" borderId="0" xfId="0" applyNumberFormat="1" applyFont="1"/>
    <xf numFmtId="166" fontId="8" fillId="0" borderId="0" xfId="4" applyFont="1" applyAlignment="1">
      <alignment horizontal="center"/>
    </xf>
    <xf numFmtId="165" fontId="12" fillId="0" borderId="0" xfId="1" applyNumberFormat="1" applyFont="1" applyFill="1" applyBorder="1"/>
    <xf numFmtId="3" fontId="30" fillId="6" borderId="27" xfId="6" applyNumberFormat="1" applyFont="1" applyFill="1" applyBorder="1"/>
    <xf numFmtId="0" fontId="24" fillId="6" borderId="26" xfId="6" applyFont="1" applyFill="1" applyBorder="1"/>
    <xf numFmtId="3" fontId="14" fillId="5" borderId="20" xfId="6" applyNumberFormat="1" applyFont="1" applyFill="1" applyBorder="1"/>
    <xf numFmtId="0" fontId="14" fillId="5" borderId="79" xfId="6" applyFont="1" applyFill="1" applyBorder="1"/>
    <xf numFmtId="10" fontId="14" fillId="5" borderId="80" xfId="6" applyNumberFormat="1" applyFont="1" applyFill="1" applyBorder="1"/>
    <xf numFmtId="0" fontId="39" fillId="5" borderId="80" xfId="6" applyFont="1" applyFill="1" applyBorder="1"/>
    <xf numFmtId="0" fontId="12" fillId="6" borderId="31" xfId="10" applyFont="1" applyFill="1" applyBorder="1"/>
    <xf numFmtId="3" fontId="30" fillId="6" borderId="19" xfId="6" applyNumberFormat="1" applyFont="1" applyFill="1" applyBorder="1"/>
    <xf numFmtId="0" fontId="24" fillId="6" borderId="78" xfId="6" applyFont="1" applyFill="1" applyBorder="1"/>
    <xf numFmtId="0" fontId="12" fillId="6" borderId="28" xfId="6" applyFont="1" applyFill="1" applyBorder="1" applyAlignment="1">
      <alignment horizontal="left" indent="1"/>
    </xf>
    <xf numFmtId="2" fontId="30" fillId="0" borderId="0" xfId="0" applyNumberFormat="1" applyFont="1"/>
    <xf numFmtId="166" fontId="19" fillId="0" borderId="25" xfId="4" applyFont="1" applyBorder="1"/>
    <xf numFmtId="0" fontId="12" fillId="0" borderId="20" xfId="6" applyFont="1" applyBorder="1"/>
    <xf numFmtId="0" fontId="12" fillId="0" borderId="17" xfId="6" applyFont="1" applyBorder="1"/>
    <xf numFmtId="168" fontId="37" fillId="5" borderId="20" xfId="5" applyNumberFormat="1" applyFont="1" applyFill="1" applyBorder="1"/>
    <xf numFmtId="2" fontId="13" fillId="0" borderId="0" xfId="1" applyNumberFormat="1" applyFont="1" applyFill="1" applyBorder="1"/>
    <xf numFmtId="0" fontId="42" fillId="0" borderId="0" xfId="6" applyFont="1"/>
    <xf numFmtId="0" fontId="25" fillId="2" borderId="0" xfId="6" applyFont="1" applyFill="1" applyAlignment="1">
      <alignment horizontal="center"/>
    </xf>
    <xf numFmtId="166" fontId="35" fillId="0" borderId="0" xfId="4" applyFont="1"/>
    <xf numFmtId="166" fontId="31" fillId="0" borderId="24" xfId="4" applyFont="1" applyBorder="1" applyAlignment="1">
      <alignment horizontal="left"/>
    </xf>
    <xf numFmtId="166" fontId="31" fillId="0" borderId="22" xfId="4" applyFont="1" applyBorder="1" applyAlignment="1">
      <alignment horizontal="left"/>
    </xf>
    <xf numFmtId="166" fontId="31" fillId="0" borderId="19" xfId="4" applyFont="1" applyBorder="1" applyAlignment="1">
      <alignment horizontal="left"/>
    </xf>
    <xf numFmtId="14" fontId="31" fillId="0" borderId="19" xfId="4" applyNumberFormat="1" applyFont="1" applyBorder="1" applyAlignment="1">
      <alignment horizontal="left"/>
    </xf>
    <xf numFmtId="14" fontId="31" fillId="0" borderId="27" xfId="4" applyNumberFormat="1" applyFont="1" applyBorder="1" applyAlignment="1">
      <alignment horizontal="left"/>
    </xf>
    <xf numFmtId="166" fontId="32" fillId="0" borderId="19" xfId="4" applyFont="1" applyBorder="1"/>
    <xf numFmtId="0" fontId="12" fillId="6" borderId="5" xfId="6" applyFont="1" applyFill="1" applyBorder="1"/>
    <xf numFmtId="3" fontId="14" fillId="6" borderId="19" xfId="6" applyNumberFormat="1" applyFont="1" applyFill="1" applyBorder="1"/>
    <xf numFmtId="0" fontId="12" fillId="6" borderId="32" xfId="6" applyFont="1" applyFill="1" applyBorder="1"/>
    <xf numFmtId="2" fontId="30" fillId="6" borderId="19" xfId="6" applyNumberFormat="1" applyFont="1" applyFill="1" applyBorder="1"/>
    <xf numFmtId="169" fontId="24" fillId="6" borderId="23" xfId="6" applyNumberFormat="1" applyFont="1" applyFill="1" applyBorder="1"/>
    <xf numFmtId="10" fontId="30" fillId="6" borderId="19" xfId="6" applyNumberFormat="1" applyFont="1" applyFill="1" applyBorder="1"/>
    <xf numFmtId="0" fontId="24" fillId="6" borderId="23" xfId="6" applyFont="1" applyFill="1" applyBorder="1"/>
    <xf numFmtId="0" fontId="24" fillId="6" borderId="22" xfId="6" applyFont="1" applyFill="1" applyBorder="1"/>
    <xf numFmtId="0" fontId="50" fillId="0" borderId="5" xfId="6" applyFont="1" applyBorder="1"/>
    <xf numFmtId="3" fontId="51" fillId="0" borderId="19" xfId="6" applyNumberFormat="1" applyFont="1" applyBorder="1"/>
    <xf numFmtId="0" fontId="24" fillId="6" borderId="23" xfId="10" applyFont="1" applyFill="1" applyBorder="1"/>
    <xf numFmtId="0" fontId="12" fillId="6" borderId="62" xfId="10" applyFont="1" applyFill="1" applyBorder="1" applyAlignment="1">
      <alignment horizontal="left" indent="1"/>
    </xf>
    <xf numFmtId="10" fontId="30" fillId="6" borderId="19" xfId="10" applyNumberFormat="1" applyFont="1" applyFill="1" applyBorder="1" applyAlignment="1">
      <alignment horizontal="right"/>
    </xf>
    <xf numFmtId="10" fontId="30" fillId="6" borderId="22" xfId="6" applyNumberFormat="1" applyFont="1" applyFill="1" applyBorder="1"/>
    <xf numFmtId="0" fontId="44" fillId="6" borderId="30" xfId="6" applyFont="1" applyFill="1" applyBorder="1" applyAlignment="1">
      <alignment horizontal="left" indent="1"/>
    </xf>
    <xf numFmtId="10" fontId="44" fillId="6" borderId="19" xfId="6" applyNumberFormat="1" applyFont="1" applyFill="1" applyBorder="1"/>
    <xf numFmtId="0" fontId="45" fillId="6" borderId="23" xfId="6" applyFont="1" applyFill="1" applyBorder="1"/>
    <xf numFmtId="0" fontId="12" fillId="6" borderId="30" xfId="6" applyFont="1" applyFill="1" applyBorder="1"/>
    <xf numFmtId="0" fontId="12" fillId="6" borderId="28" xfId="6" applyFont="1" applyFill="1" applyBorder="1"/>
    <xf numFmtId="0" fontId="24" fillId="6" borderId="1" xfId="6" applyFont="1" applyFill="1" applyBorder="1"/>
    <xf numFmtId="0" fontId="38" fillId="0" borderId="18" xfId="6" applyFont="1" applyBorder="1" applyAlignment="1">
      <alignment horizontal="center" vertical="center" textRotation="90" wrapText="1"/>
    </xf>
    <xf numFmtId="3" fontId="12" fillId="0" borderId="0" xfId="4" applyNumberFormat="1" applyFont="1"/>
    <xf numFmtId="3" fontId="12" fillId="0" borderId="2" xfId="4" applyNumberFormat="1" applyFont="1" applyBorder="1"/>
    <xf numFmtId="3" fontId="12" fillId="0" borderId="21" xfId="6" applyNumberFormat="1" applyFont="1" applyBorder="1"/>
    <xf numFmtId="3" fontId="12" fillId="0" borderId="27" xfId="6" applyNumberFormat="1" applyFont="1" applyBorder="1"/>
    <xf numFmtId="0" fontId="24" fillId="0" borderId="17" xfId="6" applyFont="1" applyBorder="1"/>
    <xf numFmtId="0" fontId="14" fillId="5" borderId="3" xfId="6" applyFont="1" applyFill="1" applyBorder="1"/>
    <xf numFmtId="3" fontId="14" fillId="5" borderId="27" xfId="6" applyNumberFormat="1" applyFont="1" applyFill="1" applyBorder="1"/>
    <xf numFmtId="0" fontId="39" fillId="5" borderId="17" xfId="6" applyFont="1" applyFill="1" applyBorder="1"/>
    <xf numFmtId="3" fontId="3" fillId="0" borderId="50" xfId="13" applyNumberFormat="1" applyFont="1" applyBorder="1"/>
    <xf numFmtId="3" fontId="3" fillId="0" borderId="52" xfId="13" applyNumberFormat="1" applyFont="1" applyBorder="1"/>
    <xf numFmtId="0" fontId="24" fillId="6" borderId="29" xfId="6" applyFont="1" applyFill="1" applyBorder="1"/>
    <xf numFmtId="3" fontId="30" fillId="6" borderId="21" xfId="6" applyNumberFormat="1" applyFont="1" applyFill="1" applyBorder="1"/>
    <xf numFmtId="3" fontId="2" fillId="0" borderId="52" xfId="13" applyNumberFormat="1" applyFont="1" applyBorder="1"/>
    <xf numFmtId="3" fontId="14" fillId="0" borderId="19" xfId="6" applyNumberFormat="1" applyFont="1" applyBorder="1"/>
    <xf numFmtId="0" fontId="12" fillId="7" borderId="33" xfId="6" applyFont="1" applyFill="1" applyBorder="1"/>
    <xf numFmtId="10" fontId="30" fillId="7" borderId="24" xfId="6" applyNumberFormat="1" applyFont="1" applyFill="1" applyBorder="1"/>
    <xf numFmtId="0" fontId="24" fillId="7" borderId="57" xfId="6" applyFont="1" applyFill="1" applyBorder="1"/>
    <xf numFmtId="0" fontId="12" fillId="6" borderId="19" xfId="6" applyFont="1" applyFill="1" applyBorder="1"/>
    <xf numFmtId="173" fontId="30" fillId="6" borderId="19" xfId="1" applyNumberFormat="1" applyFont="1" applyFill="1" applyBorder="1" applyAlignment="1"/>
    <xf numFmtId="0" fontId="12" fillId="7" borderId="9" xfId="6" applyFont="1" applyFill="1" applyBorder="1"/>
    <xf numFmtId="10" fontId="30" fillId="7" borderId="56" xfId="6" applyNumberFormat="1" applyFont="1" applyFill="1" applyBorder="1"/>
    <xf numFmtId="0" fontId="24" fillId="7" borderId="48" xfId="6" applyFont="1" applyFill="1" applyBorder="1"/>
    <xf numFmtId="10" fontId="30" fillId="6" borderId="27" xfId="6" applyNumberFormat="1" applyFont="1" applyFill="1" applyBorder="1"/>
    <xf numFmtId="0" fontId="12" fillId="6" borderId="9" xfId="6" applyFont="1" applyFill="1" applyBorder="1"/>
    <xf numFmtId="3" fontId="30" fillId="6" borderId="24" xfId="6" applyNumberFormat="1" applyFont="1" applyFill="1" applyBorder="1"/>
    <xf numFmtId="0" fontId="24" fillId="6" borderId="57" xfId="6" applyFont="1" applyFill="1" applyBorder="1"/>
    <xf numFmtId="0" fontId="12" fillId="6" borderId="31" xfId="6" applyFont="1" applyFill="1" applyBorder="1"/>
    <xf numFmtId="0" fontId="12" fillId="6" borderId="30" xfId="6" applyFont="1" applyFill="1" applyBorder="1" applyAlignment="1">
      <alignment horizontal="left" indent="1"/>
    </xf>
    <xf numFmtId="0" fontId="24" fillId="6" borderId="4" xfId="6" applyFont="1" applyFill="1" applyBorder="1"/>
    <xf numFmtId="0" fontId="24" fillId="6" borderId="19" xfId="6" applyFont="1" applyFill="1" applyBorder="1"/>
    <xf numFmtId="0" fontId="17" fillId="6" borderId="8" xfId="6" applyFont="1" applyFill="1" applyBorder="1" applyAlignment="1">
      <alignment horizontal="left" vertical="top" wrapText="1"/>
    </xf>
    <xf numFmtId="0" fontId="17" fillId="6" borderId="7" xfId="6" applyFont="1" applyFill="1" applyBorder="1" applyAlignment="1">
      <alignment horizontal="left" vertical="top" wrapText="1"/>
    </xf>
    <xf numFmtId="0" fontId="17" fillId="6" borderId="55" xfId="6" applyFont="1" applyFill="1" applyBorder="1" applyAlignment="1">
      <alignment horizontal="left" vertical="top" wrapText="1"/>
    </xf>
    <xf numFmtId="0" fontId="12" fillId="6" borderId="62" xfId="10" applyFont="1" applyFill="1" applyBorder="1"/>
    <xf numFmtId="10" fontId="30" fillId="6" borderId="19" xfId="10" applyNumberFormat="1" applyFont="1" applyFill="1" applyBorder="1"/>
    <xf numFmtId="10" fontId="30" fillId="6" borderId="22" xfId="10" applyNumberFormat="1" applyFont="1" applyFill="1" applyBorder="1"/>
    <xf numFmtId="169" fontId="24" fillId="6" borderId="23" xfId="10" applyNumberFormat="1" applyFont="1" applyFill="1" applyBorder="1"/>
    <xf numFmtId="9" fontId="30" fillId="6" borderId="19" xfId="1" applyFont="1" applyFill="1" applyBorder="1"/>
    <xf numFmtId="0" fontId="12" fillId="0" borderId="55" xfId="6" applyFont="1" applyBorder="1" applyAlignment="1">
      <alignment horizontal="left"/>
    </xf>
    <xf numFmtId="0" fontId="12" fillId="0" borderId="77" xfId="4" applyNumberFormat="1" applyFont="1" applyBorder="1" applyAlignment="1">
      <alignment horizontal="center"/>
    </xf>
    <xf numFmtId="0" fontId="26" fillId="0" borderId="81" xfId="6" applyFont="1" applyBorder="1" applyAlignment="1">
      <alignment horizontal="left"/>
    </xf>
    <xf numFmtId="166" fontId="32" fillId="0" borderId="79" xfId="4" applyFont="1" applyBorder="1"/>
    <xf numFmtId="166" fontId="1" fillId="0" borderId="0" xfId="4" applyFont="1"/>
    <xf numFmtId="10" fontId="1" fillId="0" borderId="0" xfId="6" applyNumberFormat="1" applyFont="1"/>
    <xf numFmtId="0" fontId="1" fillId="0" borderId="0" xfId="6" applyFont="1"/>
    <xf numFmtId="165" fontId="13" fillId="0" borderId="0" xfId="1" applyNumberFormat="1" applyFont="1"/>
    <xf numFmtId="167" fontId="15" fillId="0" borderId="2" xfId="4" applyNumberFormat="1" applyFont="1" applyBorder="1" applyAlignment="1">
      <alignment horizontal="center"/>
    </xf>
    <xf numFmtId="0" fontId="13" fillId="8" borderId="40" xfId="6" applyFont="1" applyFill="1" applyBorder="1"/>
    <xf numFmtId="14" fontId="13" fillId="8" borderId="41" xfId="6" applyNumberFormat="1" applyFont="1" applyFill="1" applyBorder="1"/>
    <xf numFmtId="0" fontId="13" fillId="8" borderId="37" xfId="6" applyFont="1" applyFill="1" applyBorder="1"/>
    <xf numFmtId="10" fontId="13" fillId="8" borderId="36" xfId="6" applyNumberFormat="1" applyFont="1" applyFill="1" applyBorder="1"/>
    <xf numFmtId="0" fontId="13" fillId="8" borderId="35" xfId="6" applyFont="1" applyFill="1" applyBorder="1"/>
    <xf numFmtId="0" fontId="13" fillId="8" borderId="34" xfId="6" applyFont="1" applyFill="1" applyBorder="1"/>
    <xf numFmtId="3" fontId="12" fillId="6" borderId="0" xfId="16" applyNumberFormat="1" applyFont="1" applyFill="1"/>
    <xf numFmtId="3" fontId="12" fillId="6" borderId="2" xfId="16" applyNumberFormat="1" applyFont="1" applyFill="1" applyBorder="1"/>
    <xf numFmtId="3" fontId="19" fillId="6" borderId="46" xfId="1" applyNumberFormat="1" applyFont="1" applyFill="1" applyBorder="1" applyAlignment="1">
      <alignment horizontal="right"/>
    </xf>
    <xf numFmtId="0" fontId="17" fillId="6" borderId="8" xfId="16" applyFont="1" applyFill="1" applyBorder="1" applyAlignment="1">
      <alignment horizontal="left" vertical="top" wrapText="1"/>
    </xf>
    <xf numFmtId="0" fontId="12" fillId="6" borderId="2" xfId="16" applyFont="1" applyFill="1" applyBorder="1"/>
    <xf numFmtId="3" fontId="19" fillId="6" borderId="46" xfId="15" applyNumberFormat="1" applyFont="1" applyFill="1" applyBorder="1" applyAlignment="1">
      <alignment horizontal="right"/>
    </xf>
    <xf numFmtId="0" fontId="12" fillId="6" borderId="32" xfId="6" applyFont="1" applyFill="1" applyBorder="1" applyAlignment="1">
      <alignment horizontal="left"/>
    </xf>
    <xf numFmtId="166" fontId="31" fillId="6" borderId="22" xfId="4" applyFont="1" applyFill="1" applyBorder="1"/>
    <xf numFmtId="0" fontId="12" fillId="6" borderId="31" xfId="6" applyFont="1" applyFill="1" applyBorder="1" applyAlignment="1">
      <alignment horizontal="left"/>
    </xf>
    <xf numFmtId="166" fontId="31" fillId="6" borderId="19" xfId="4" applyFont="1" applyFill="1" applyBorder="1"/>
    <xf numFmtId="3" fontId="13" fillId="8" borderId="41" xfId="6" applyNumberFormat="1" applyFont="1" applyFill="1" applyBorder="1"/>
    <xf numFmtId="166" fontId="32" fillId="0" borderId="22" xfId="4" applyFont="1" applyBorder="1"/>
    <xf numFmtId="0" fontId="49" fillId="0" borderId="0" xfId="6" applyFont="1" applyAlignment="1">
      <alignment horizontal="center"/>
    </xf>
    <xf numFmtId="9" fontId="49" fillId="0" borderId="0" xfId="1" applyFont="1" applyFill="1" applyAlignment="1">
      <alignment horizontal="center"/>
    </xf>
    <xf numFmtId="0" fontId="52" fillId="0" borderId="55" xfId="6" applyFont="1" applyBorder="1"/>
    <xf numFmtId="166" fontId="52" fillId="0" borderId="7" xfId="6" applyNumberFormat="1" applyFont="1" applyBorder="1"/>
    <xf numFmtId="0" fontId="52" fillId="0" borderId="82" xfId="6" applyFont="1" applyBorder="1"/>
    <xf numFmtId="166" fontId="52" fillId="0" borderId="83" xfId="6" applyNumberFormat="1" applyFont="1" applyBorder="1"/>
    <xf numFmtId="0" fontId="18" fillId="0" borderId="0" xfId="11" applyFont="1"/>
    <xf numFmtId="0" fontId="53" fillId="0" borderId="0" xfId="0" applyFont="1"/>
    <xf numFmtId="10" fontId="18" fillId="0" borderId="0" xfId="11" applyNumberFormat="1" applyFont="1"/>
    <xf numFmtId="0" fontId="50" fillId="0" borderId="55" xfId="11" applyFont="1" applyBorder="1" applyAlignment="1">
      <alignment horizontal="center" vertical="center"/>
    </xf>
    <xf numFmtId="0" fontId="50" fillId="0" borderId="7" xfId="11" applyFont="1" applyBorder="1" applyAlignment="1">
      <alignment horizontal="center" vertical="center"/>
    </xf>
    <xf numFmtId="167" fontId="18" fillId="0" borderId="84" xfId="11" applyNumberFormat="1" applyFont="1" applyBorder="1"/>
    <xf numFmtId="167" fontId="18" fillId="0" borderId="5" xfId="11" applyNumberFormat="1" applyFont="1" applyBorder="1"/>
    <xf numFmtId="3" fontId="18" fillId="0" borderId="0" xfId="6" applyNumberFormat="1" applyFont="1" applyAlignment="1">
      <alignment horizontal="right"/>
    </xf>
    <xf numFmtId="167" fontId="18" fillId="0" borderId="3" xfId="11" applyNumberFormat="1" applyFont="1" applyBorder="1"/>
    <xf numFmtId="167" fontId="18" fillId="0" borderId="0" xfId="11" applyNumberFormat="1" applyFont="1"/>
    <xf numFmtId="3" fontId="18" fillId="0" borderId="0" xfId="6" applyNumberFormat="1" applyFont="1"/>
    <xf numFmtId="165" fontId="18" fillId="0" borderId="0" xfId="1" applyNumberFormat="1" applyFont="1"/>
    <xf numFmtId="166" fontId="51" fillId="0" borderId="11" xfId="4" applyFont="1" applyBorder="1"/>
    <xf numFmtId="166" fontId="51" fillId="0" borderId="10" xfId="4" applyFont="1" applyBorder="1"/>
    <xf numFmtId="166" fontId="51" fillId="0" borderId="12" xfId="4" applyFont="1" applyBorder="1"/>
    <xf numFmtId="0" fontId="54" fillId="2" borderId="55" xfId="6" applyFont="1" applyFill="1" applyBorder="1" applyAlignment="1">
      <alignment horizontal="left" vertical="top" wrapText="1"/>
    </xf>
    <xf numFmtId="0" fontId="54" fillId="2" borderId="8" xfId="6" applyFont="1" applyFill="1" applyBorder="1" applyAlignment="1">
      <alignment horizontal="left" vertical="top" wrapText="1"/>
    </xf>
    <xf numFmtId="0" fontId="54" fillId="2" borderId="7" xfId="6" applyFont="1" applyFill="1" applyBorder="1" applyAlignment="1">
      <alignment horizontal="left" vertical="top" wrapText="1"/>
    </xf>
    <xf numFmtId="14" fontId="15" fillId="0" borderId="2" xfId="4" applyNumberFormat="1" applyFont="1" applyBorder="1" applyAlignment="1">
      <alignment horizontal="center"/>
    </xf>
    <xf numFmtId="3" fontId="18" fillId="0" borderId="3" xfId="6" applyNumberFormat="1" applyFont="1" applyBorder="1"/>
    <xf numFmtId="3" fontId="18" fillId="0" borderId="2" xfId="6" applyNumberFormat="1" applyFont="1" applyBorder="1"/>
    <xf numFmtId="3" fontId="18" fillId="0" borderId="1" xfId="6" applyNumberFormat="1" applyFont="1" applyBorder="1"/>
    <xf numFmtId="3" fontId="18" fillId="0" borderId="0" xfId="1" applyNumberFormat="1" applyFont="1" applyBorder="1" applyAlignment="1">
      <alignment horizontal="center"/>
    </xf>
    <xf numFmtId="3" fontId="18" fillId="0" borderId="5" xfId="6" applyNumberFormat="1" applyFont="1" applyBorder="1"/>
    <xf numFmtId="3" fontId="18" fillId="0" borderId="4" xfId="6" applyNumberFormat="1" applyFont="1" applyBorder="1"/>
    <xf numFmtId="3" fontId="18" fillId="0" borderId="2" xfId="1" applyNumberFormat="1" applyFont="1" applyBorder="1" applyAlignment="1">
      <alignment horizontal="center"/>
    </xf>
    <xf numFmtId="0" fontId="54" fillId="2" borderId="55" xfId="6" applyFont="1" applyFill="1" applyBorder="1" applyAlignment="1">
      <alignment horizontal="left" vertical="top"/>
    </xf>
    <xf numFmtId="14" fontId="13" fillId="8" borderId="36" xfId="6" applyNumberFormat="1" applyFont="1" applyFill="1" applyBorder="1"/>
    <xf numFmtId="3" fontId="18" fillId="8" borderId="85" xfId="6" applyNumberFormat="1" applyFont="1" applyFill="1" applyBorder="1" applyAlignment="1">
      <alignment horizontal="right"/>
    </xf>
    <xf numFmtId="3" fontId="18" fillId="8" borderId="4" xfId="6" applyNumberFormat="1" applyFont="1" applyFill="1" applyBorder="1" applyAlignment="1">
      <alignment horizontal="right"/>
    </xf>
    <xf numFmtId="3" fontId="18" fillId="8" borderId="1" xfId="6" applyNumberFormat="1" applyFont="1" applyFill="1" applyBorder="1" applyAlignment="1">
      <alignment horizontal="right"/>
    </xf>
    <xf numFmtId="165" fontId="18" fillId="0" borderId="0" xfId="1" applyNumberFormat="1" applyFont="1" applyAlignment="1">
      <alignment horizontal="right"/>
    </xf>
    <xf numFmtId="0" fontId="12" fillId="7" borderId="33" xfId="10" applyFont="1" applyFill="1" applyBorder="1"/>
    <xf numFmtId="173" fontId="30" fillId="7" borderId="24" xfId="1" applyNumberFormat="1" applyFont="1" applyFill="1" applyBorder="1" applyAlignment="1"/>
    <xf numFmtId="10" fontId="12" fillId="0" borderId="16" xfId="1" applyNumberFormat="1" applyFont="1" applyBorder="1"/>
    <xf numFmtId="2" fontId="12" fillId="0" borderId="16" xfId="6" applyNumberFormat="1" applyFont="1" applyBorder="1"/>
    <xf numFmtId="0" fontId="50" fillId="0" borderId="12" xfId="11" applyFont="1" applyBorder="1" applyAlignment="1">
      <alignment horizontal="center"/>
    </xf>
    <xf numFmtId="0" fontId="50" fillId="0" borderId="10" xfId="11" applyFont="1" applyBorder="1" applyAlignment="1">
      <alignment horizontal="center"/>
    </xf>
    <xf numFmtId="0" fontId="25" fillId="6" borderId="0" xfId="6" applyFont="1" applyFill="1" applyAlignment="1">
      <alignment horizontal="center"/>
    </xf>
    <xf numFmtId="0" fontId="25" fillId="4" borderId="0" xfId="6" applyFont="1" applyFill="1" applyAlignment="1">
      <alignment horizontal="center"/>
    </xf>
    <xf numFmtId="0" fontId="25" fillId="2" borderId="0" xfId="6" applyFont="1" applyFill="1" applyAlignment="1">
      <alignment horizontal="center"/>
    </xf>
    <xf numFmtId="0" fontId="38" fillId="6" borderId="58" xfId="6" applyFont="1" applyFill="1" applyBorder="1" applyAlignment="1">
      <alignment horizontal="center" vertical="center" textRotation="90" wrapText="1"/>
    </xf>
    <xf numFmtId="0" fontId="38" fillId="6" borderId="59" xfId="6" applyFont="1" applyFill="1" applyBorder="1" applyAlignment="1">
      <alignment horizontal="center" vertical="center" textRotation="90" wrapText="1"/>
    </xf>
    <xf numFmtId="0" fontId="38" fillId="6" borderId="60" xfId="6" applyFont="1" applyFill="1" applyBorder="1" applyAlignment="1">
      <alignment horizontal="center" vertical="center" textRotation="90" wrapText="1"/>
    </xf>
    <xf numFmtId="0" fontId="38" fillId="0" borderId="58" xfId="6" applyFont="1" applyBorder="1" applyAlignment="1">
      <alignment horizontal="center" vertical="center" textRotation="90" wrapText="1"/>
    </xf>
    <xf numFmtId="0" fontId="38" fillId="0" borderId="59" xfId="6" applyFont="1" applyBorder="1" applyAlignment="1">
      <alignment horizontal="center" vertical="center" textRotation="90" wrapText="1"/>
    </xf>
    <xf numFmtId="0" fontId="38" fillId="0" borderId="60" xfId="6" applyFont="1" applyBorder="1" applyAlignment="1">
      <alignment horizontal="center" vertical="center" textRotation="90" wrapText="1"/>
    </xf>
    <xf numFmtId="0" fontId="48" fillId="0" borderId="40" xfId="6" applyFont="1" applyBorder="1" applyAlignment="1">
      <alignment horizontal="center"/>
    </xf>
    <xf numFmtId="0" fontId="48" fillId="0" borderId="41" xfId="6" applyFont="1" applyBorder="1" applyAlignment="1">
      <alignment horizontal="center"/>
    </xf>
    <xf numFmtId="0" fontId="38" fillId="7" borderId="58" xfId="6" applyFont="1" applyFill="1" applyBorder="1" applyAlignment="1">
      <alignment horizontal="center" vertical="center" textRotation="90" wrapText="1"/>
    </xf>
    <xf numFmtId="0" fontId="38" fillId="7" borderId="59" xfId="6" applyFont="1" applyFill="1" applyBorder="1" applyAlignment="1">
      <alignment horizontal="center" vertical="center" textRotation="90" wrapText="1"/>
    </xf>
    <xf numFmtId="0" fontId="38" fillId="7" borderId="60" xfId="6" applyFont="1" applyFill="1" applyBorder="1" applyAlignment="1">
      <alignment horizontal="center" vertical="center" textRotation="90" wrapText="1"/>
    </xf>
  </cellXfs>
  <cellStyles count="18">
    <cellStyle name="Comma 4" xfId="14" xr:uid="{00000000-0005-0000-0000-000000000000}"/>
    <cellStyle name="Normal" xfId="0" builtinId="0"/>
    <cellStyle name="Normal 102 2" xfId="11" xr:uid="{00000000-0005-0000-0000-000002000000}"/>
    <cellStyle name="Normal 2" xfId="3" xr:uid="{00000000-0005-0000-0000-000003000000}"/>
    <cellStyle name="Normal 2 215" xfId="13" xr:uid="{00000000-0005-0000-0000-000004000000}"/>
    <cellStyle name="Normal 3" xfId="4" xr:uid="{00000000-0005-0000-0000-000005000000}"/>
    <cellStyle name="Normal 3 2" xfId="6" xr:uid="{00000000-0005-0000-0000-000006000000}"/>
    <cellStyle name="Normal 3 2 2" xfId="10" xr:uid="{00000000-0005-0000-0000-000007000000}"/>
    <cellStyle name="Normal 3 2 2 2" xfId="16" xr:uid="{00000000-0005-0000-0000-000008000000}"/>
    <cellStyle name="Normal 3 3" xfId="8" xr:uid="{00000000-0005-0000-0000-000009000000}"/>
    <cellStyle name="Normal 3 4" xfId="9" xr:uid="{00000000-0005-0000-0000-00000A000000}"/>
    <cellStyle name="Normal 4 2" xfId="17" xr:uid="{4729921A-122D-4516-B0AE-4D386A7382DD}"/>
    <cellStyle name="Normal 5 15" xfId="12" xr:uid="{00000000-0005-0000-0000-00000B000000}"/>
    <cellStyle name="normální_aktivní odprodej_2004_z_310706" xfId="2" xr:uid="{00000000-0005-0000-0000-00000C000000}"/>
    <cellStyle name="Percent" xfId="1" builtinId="5"/>
    <cellStyle name="Percent 2" xfId="5" xr:uid="{00000000-0005-0000-0000-00000E000000}"/>
    <cellStyle name="Percent 3" xfId="7" xr:uid="{00000000-0005-0000-0000-00000F000000}"/>
    <cellStyle name="Percent 3 2" xfId="15" xr:uid="{00000000-0005-0000-0000-000010000000}"/>
  </cellStyles>
  <dxfs count="4">
    <dxf>
      <font>
        <b val="0"/>
        <i val="0"/>
        <color theme="0"/>
      </font>
      <fill>
        <patternFill>
          <bgColor rgb="FF468E99"/>
        </patternFill>
      </fill>
    </dxf>
    <dxf>
      <font>
        <b val="0"/>
        <i val="0"/>
        <color theme="0"/>
      </font>
      <fill>
        <patternFill>
          <bgColor rgb="FF468E99"/>
        </patternFill>
      </fill>
    </dxf>
    <dxf>
      <font>
        <b val="0"/>
        <i val="0"/>
        <color theme="0"/>
      </font>
      <fill>
        <patternFill>
          <bgColor rgb="FFE83E33"/>
        </patternFill>
      </fill>
    </dxf>
    <dxf>
      <font>
        <b val="0"/>
        <i val="0"/>
        <color theme="0"/>
      </font>
      <fill>
        <patternFill>
          <bgColor rgb="FF468E99"/>
        </patternFill>
      </fill>
    </dxf>
  </dxfs>
  <tableStyles count="1" defaultTableStyle="TableStyleMedium2" defaultPivotStyle="PivotStyleLight16">
    <tableStyle name="Strats" table="0" count="4" xr9:uid="{00000000-0011-0000-FFFF-FFFF00000000}">
      <tableStyleElement type="headerRow" dxfId="3"/>
      <tableStyleElement type="totalRow" dxfId="2"/>
      <tableStyleElement type="pageFieldLabels" dxfId="1"/>
      <tableStyleElement type="pageFieldValues" dxfId="0"/>
    </tableStyle>
  </tableStyles>
  <colors>
    <mruColors>
      <color rgb="FF005864"/>
      <color rgb="FF468E99"/>
      <color rgb="FFE83E33"/>
      <color rgb="FF9AC8D0"/>
      <color rgb="FFD1E2E8"/>
      <color rgb="FFE80633"/>
      <color rgb="FFFF9999"/>
      <color rgb="FFFFCCFF"/>
      <color rgb="FFFF66FF"/>
      <color rgb="FF80B5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'Summary&amp;CF_SICAV'!$Y$3</c:f>
              <c:strCache>
                <c:ptCount val="1"/>
                <c:pt idx="0">
                  <c:v>Ends </c:v>
                </c:pt>
              </c:strCache>
            </c:strRef>
          </c:tx>
          <c:spPr>
            <a:solidFill>
              <a:srgbClr val="468E99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214211047610686E-3"/>
                  <c:y val="-0.3779585288635544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F68-4534-A254-5E717E5F68F5}"/>
                </c:ext>
              </c:extLst>
            </c:dLbl>
            <c:dLbl>
              <c:idx val="5"/>
              <c:layout>
                <c:manualLayout>
                  <c:x val="6.0152564975646163E-4"/>
                  <c:y val="-0.210691745098705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68-4534-A254-5E717E5F68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'Summary&amp;CF_SICAV'!$U$4:$U$9</c:f>
              <c:strCache>
                <c:ptCount val="6"/>
                <c:pt idx="0">
                  <c:v>MV</c:v>
                </c:pt>
                <c:pt idx="1">
                  <c:v>GC Total (after WHT on Interesat)</c:v>
                </c:pt>
                <c:pt idx="2">
                  <c:v>MSF + VAT + Local Fees</c:v>
                </c:pt>
                <c:pt idx="3">
                  <c:v>Taxes + 2nd Layer + SICAV</c:v>
                </c:pt>
                <c:pt idx="4">
                  <c:v>Carry</c:v>
                </c:pt>
                <c:pt idx="5">
                  <c:v>Net collections after tax and carry</c:v>
                </c:pt>
              </c:strCache>
            </c:strRef>
          </c:cat>
          <c:val>
            <c:numRef>
              <c:f>'Summary&amp;CF_SICAV'!$Y$4:$Y$9</c:f>
              <c:numCache>
                <c:formatCode>0.0</c:formatCode>
                <c:ptCount val="6"/>
                <c:pt idx="0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68-4534-A254-5E717E5F68F5}"/>
            </c:ext>
          </c:extLst>
        </c:ser>
        <c:ser>
          <c:idx val="1"/>
          <c:order val="1"/>
          <c:tx>
            <c:strRef>
              <c:f>'Summary&amp;CF_SICAV'!$Z$3</c:f>
              <c:strCache>
                <c:ptCount val="1"/>
                <c:pt idx="0">
                  <c:v>Blank 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'Summary&amp;CF_SICAV'!$U$4:$U$9</c:f>
              <c:strCache>
                <c:ptCount val="6"/>
                <c:pt idx="0">
                  <c:v>MV</c:v>
                </c:pt>
                <c:pt idx="1">
                  <c:v>GC Total (after WHT on Interesat)</c:v>
                </c:pt>
                <c:pt idx="2">
                  <c:v>MSF + VAT + Local Fees</c:v>
                </c:pt>
                <c:pt idx="3">
                  <c:v>Taxes + 2nd Layer + SICAV</c:v>
                </c:pt>
                <c:pt idx="4">
                  <c:v>Carry</c:v>
                </c:pt>
                <c:pt idx="5">
                  <c:v>Net collections after tax and carry</c:v>
                </c:pt>
              </c:strCache>
            </c:strRef>
          </c:cat>
          <c:val>
            <c:numRef>
              <c:f>'Summary&amp;CF_SICAV'!$Z$4:$Z$9</c:f>
              <c:numCache>
                <c:formatCode>0.0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68-4534-A254-5E717E5F68F5}"/>
            </c:ext>
          </c:extLst>
        </c:ser>
        <c:ser>
          <c:idx val="2"/>
          <c:order val="2"/>
          <c:tx>
            <c:strRef>
              <c:f>'Summary&amp;CF_SICAV'!$AA$3</c:f>
              <c:strCache>
                <c:ptCount val="1"/>
                <c:pt idx="0">
                  <c:v>Up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'Summary&amp;CF_SICAV'!$U$4:$U$9</c:f>
              <c:strCache>
                <c:ptCount val="6"/>
                <c:pt idx="0">
                  <c:v>MV</c:v>
                </c:pt>
                <c:pt idx="1">
                  <c:v>GC Total (after WHT on Interesat)</c:v>
                </c:pt>
                <c:pt idx="2">
                  <c:v>MSF + VAT + Local Fees</c:v>
                </c:pt>
                <c:pt idx="3">
                  <c:v>Taxes + 2nd Layer + SICAV</c:v>
                </c:pt>
                <c:pt idx="4">
                  <c:v>Carry</c:v>
                </c:pt>
                <c:pt idx="5">
                  <c:v>Net collections after tax and carry</c:v>
                </c:pt>
              </c:strCache>
            </c:strRef>
          </c:cat>
          <c:val>
            <c:numRef>
              <c:f>'Summary&amp;CF_SICAV'!$AA$4:$AA$9</c:f>
              <c:numCache>
                <c:formatCode>0.0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68-4534-A254-5E717E5F68F5}"/>
            </c:ext>
          </c:extLst>
        </c:ser>
        <c:ser>
          <c:idx val="3"/>
          <c:order val="3"/>
          <c:tx>
            <c:strRef>
              <c:f>'Summary&amp;CF_SICAV'!$AB$3</c:f>
              <c:strCache>
                <c:ptCount val="1"/>
                <c:pt idx="0">
                  <c:v>Down </c:v>
                </c:pt>
              </c:strCache>
            </c:strRef>
          </c:tx>
          <c:spPr>
            <a:solidFill>
              <a:srgbClr val="E83E33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0.1833950596310013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F68-4534-A254-5E717E5F68F5}"/>
                </c:ext>
              </c:extLst>
            </c:dLbl>
            <c:dLbl>
              <c:idx val="2"/>
              <c:layout>
                <c:manualLayout>
                  <c:x val="2.4888891676096356E-3"/>
                  <c:y val="3.901619397114606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F68-4534-A254-5E717E5F68F5}"/>
                </c:ext>
              </c:extLst>
            </c:dLbl>
            <c:dLbl>
              <c:idx val="3"/>
              <c:layout>
                <c:manualLayout>
                  <c:x val="0"/>
                  <c:y val="4.515975028966243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F68-4534-A254-5E717E5F68F5}"/>
                </c:ext>
              </c:extLst>
            </c:dLbl>
            <c:dLbl>
              <c:idx val="4"/>
              <c:layout>
                <c:manualLayout>
                  <c:x val="2.4331531266226832E-3"/>
                  <c:y val="3.889903503108956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F68-4534-A254-5E717E5F68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'Summary&amp;CF_SICAV'!$U$4:$U$9</c:f>
              <c:strCache>
                <c:ptCount val="6"/>
                <c:pt idx="0">
                  <c:v>MV</c:v>
                </c:pt>
                <c:pt idx="1">
                  <c:v>GC Total (after WHT on Interesat)</c:v>
                </c:pt>
                <c:pt idx="2">
                  <c:v>MSF + VAT + Local Fees</c:v>
                </c:pt>
                <c:pt idx="3">
                  <c:v>Taxes + 2nd Layer + SICAV</c:v>
                </c:pt>
                <c:pt idx="4">
                  <c:v>Carry</c:v>
                </c:pt>
                <c:pt idx="5">
                  <c:v>Net collections after tax and carry</c:v>
                </c:pt>
              </c:strCache>
            </c:strRef>
          </c:cat>
          <c:val>
            <c:numRef>
              <c:f>'Summary&amp;CF_SICAV'!$AB$4:$AB$9</c:f>
              <c:numCache>
                <c:formatCode>0.0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F68-4534-A254-5E717E5F6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8823784"/>
        <c:axId val="398822608"/>
      </c:barChart>
      <c:catAx>
        <c:axId val="398823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98822608"/>
        <c:crosses val="autoZero"/>
        <c:auto val="1"/>
        <c:lblAlgn val="ctr"/>
        <c:lblOffset val="100"/>
        <c:noMultiLvlLbl val="0"/>
      </c:catAx>
      <c:valAx>
        <c:axId val="398822608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crossAx val="39882378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397357</xdr:colOff>
      <xdr:row>1</xdr:row>
      <xdr:rowOff>156858</xdr:rowOff>
    </xdr:from>
    <xdr:ext cx="1692033" cy="904499"/>
    <xdr:pic>
      <xdr:nvPicPr>
        <xdr:cNvPr id="2" name="Picture 1" descr="A red text on a white background&#10;&#10;Description automatically generated">
          <a:extLst>
            <a:ext uri="{FF2B5EF4-FFF2-40B4-BE49-F238E27FC236}">
              <a16:creationId xmlns:a16="http://schemas.microsoft.com/office/drawing/2014/main" id="{CD7EFE98-6191-499A-A4CA-1D95507C6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9682" y="233058"/>
          <a:ext cx="1692033" cy="904499"/>
        </a:xfrm>
        <a:prstGeom prst="rect">
          <a:avLst/>
        </a:prstGeom>
      </xdr:spPr>
    </xdr:pic>
    <xdr:clientData/>
  </xdr:oneCellAnchor>
  <xdr:twoCellAnchor>
    <xdr:from>
      <xdr:col>20</xdr:col>
      <xdr:colOff>0</xdr:colOff>
      <xdr:row>12</xdr:row>
      <xdr:rowOff>0</xdr:rowOff>
    </xdr:from>
    <xdr:to>
      <xdr:col>23</xdr:col>
      <xdr:colOff>750793</xdr:colOff>
      <xdr:row>37</xdr:row>
      <xdr:rowOff>24901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D40557-4249-4C20-8C20-C358C69B1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CFC53-1296-41A3-B097-EFB3D34ACDCF}">
  <sheetPr>
    <tabColor rgb="FF468E99"/>
  </sheetPr>
  <dimension ref="B3:K144"/>
  <sheetViews>
    <sheetView showGridLines="0" zoomScaleNormal="100" workbookViewId="0">
      <selection activeCell="D13" sqref="D13"/>
    </sheetView>
  </sheetViews>
  <sheetFormatPr defaultColWidth="8.7109375" defaultRowHeight="12.75" x14ac:dyDescent="0.2"/>
  <cols>
    <col min="1" max="1" width="2.7109375" style="318" customWidth="1"/>
    <col min="2" max="2" width="4" style="318" bestFit="1" customWidth="1"/>
    <col min="3" max="3" width="26.140625" style="318" bestFit="1" customWidth="1"/>
    <col min="4" max="5" width="15.85546875" style="318" customWidth="1"/>
    <col min="6" max="6" width="16.28515625" style="318" customWidth="1"/>
    <col min="7" max="7" width="15.42578125" style="318" bestFit="1" customWidth="1"/>
    <col min="8" max="8" width="13.85546875" style="318" customWidth="1"/>
    <col min="9" max="9" width="17.140625" style="318" bestFit="1" customWidth="1"/>
    <col min="10" max="10" width="15.7109375" style="318" customWidth="1"/>
    <col min="11" max="11" width="12.7109375" style="318" customWidth="1"/>
    <col min="12" max="12" width="17.85546875" style="318" bestFit="1" customWidth="1"/>
    <col min="13" max="13" width="16.42578125" style="318" bestFit="1" customWidth="1"/>
    <col min="14" max="16384" width="8.7109375" style="318"/>
  </cols>
  <sheetData>
    <row r="3" spans="3:11" x14ac:dyDescent="0.2">
      <c r="H3" s="319" t="s">
        <v>176</v>
      </c>
      <c r="I3" s="320"/>
      <c r="K3" s="319" t="s">
        <v>177</v>
      </c>
    </row>
    <row r="4" spans="3:11" ht="13.5" thickBot="1" x14ac:dyDescent="0.25"/>
    <row r="5" spans="3:11" ht="13.5" thickBot="1" x14ac:dyDescent="0.25">
      <c r="G5" s="354" t="s">
        <v>59</v>
      </c>
      <c r="H5" s="355"/>
      <c r="J5" s="354" t="s">
        <v>178</v>
      </c>
      <c r="K5" s="355"/>
    </row>
    <row r="6" spans="3:11" x14ac:dyDescent="0.2">
      <c r="G6" s="321" t="s">
        <v>179</v>
      </c>
      <c r="H6" s="322" t="s">
        <v>180</v>
      </c>
      <c r="J6" s="321" t="s">
        <v>179</v>
      </c>
      <c r="K6" s="322" t="s">
        <v>180</v>
      </c>
    </row>
    <row r="7" spans="3:11" x14ac:dyDescent="0.2">
      <c r="G7" s="323"/>
      <c r="H7" s="346"/>
      <c r="J7" s="323"/>
      <c r="K7" s="346"/>
    </row>
    <row r="8" spans="3:11" x14ac:dyDescent="0.2">
      <c r="G8" s="324"/>
      <c r="H8" s="347"/>
      <c r="J8" s="324"/>
      <c r="K8" s="347"/>
    </row>
    <row r="9" spans="3:11" ht="14.25" x14ac:dyDescent="0.2">
      <c r="C9" s="294" t="s">
        <v>175</v>
      </c>
      <c r="D9" s="310"/>
      <c r="E9" s="14"/>
      <c r="G9" s="324"/>
      <c r="H9" s="347"/>
      <c r="J9" s="324"/>
      <c r="K9" s="347"/>
    </row>
    <row r="10" spans="3:11" ht="14.25" x14ac:dyDescent="0.2">
      <c r="C10" s="294" t="s">
        <v>172</v>
      </c>
      <c r="D10" s="295"/>
      <c r="E10" s="14"/>
      <c r="G10" s="324"/>
      <c r="H10" s="347"/>
      <c r="J10" s="324"/>
      <c r="K10" s="347"/>
    </row>
    <row r="11" spans="3:11" ht="14.25" x14ac:dyDescent="0.2">
      <c r="C11" s="296" t="s">
        <v>174</v>
      </c>
      <c r="D11" s="345"/>
      <c r="E11" s="14"/>
      <c r="G11" s="324"/>
      <c r="H11" s="347"/>
      <c r="J11" s="324"/>
      <c r="K11" s="347"/>
    </row>
    <row r="12" spans="3:11" ht="14.25" x14ac:dyDescent="0.2">
      <c r="C12" s="296" t="s">
        <v>171</v>
      </c>
      <c r="D12" s="297"/>
      <c r="E12" s="14"/>
      <c r="G12" s="324"/>
      <c r="H12" s="347"/>
      <c r="J12" s="324"/>
      <c r="K12" s="347"/>
    </row>
    <row r="13" spans="3:11" ht="14.25" x14ac:dyDescent="0.2">
      <c r="C13" s="298" t="s">
        <v>173</v>
      </c>
      <c r="D13" s="299" t="s">
        <v>185</v>
      </c>
      <c r="E13" s="14"/>
      <c r="G13" s="324"/>
      <c r="H13" s="347"/>
      <c r="J13" s="324"/>
      <c r="K13" s="347"/>
    </row>
    <row r="14" spans="3:11" x14ac:dyDescent="0.2">
      <c r="G14" s="324"/>
      <c r="H14" s="347"/>
      <c r="J14" s="324"/>
      <c r="K14" s="347"/>
    </row>
    <row r="15" spans="3:11" x14ac:dyDescent="0.2">
      <c r="G15" s="324"/>
      <c r="H15" s="347"/>
      <c r="J15" s="324"/>
      <c r="K15" s="347"/>
    </row>
    <row r="16" spans="3:11" x14ac:dyDescent="0.2">
      <c r="G16" s="324"/>
      <c r="H16" s="347"/>
      <c r="J16" s="324"/>
      <c r="K16" s="347"/>
    </row>
    <row r="17" spans="2:11" x14ac:dyDescent="0.2">
      <c r="G17" s="324"/>
      <c r="H17" s="347"/>
      <c r="J17" s="324"/>
      <c r="K17" s="347"/>
    </row>
    <row r="18" spans="2:11" ht="13.5" thickBot="1" x14ac:dyDescent="0.25">
      <c r="D18" s="327"/>
      <c r="E18" s="327"/>
      <c r="F18" s="325"/>
      <c r="G18" s="326"/>
      <c r="H18" s="348"/>
      <c r="J18" s="326"/>
      <c r="K18" s="348"/>
    </row>
    <row r="19" spans="2:11" x14ac:dyDescent="0.2">
      <c r="D19" s="327"/>
      <c r="E19" s="327"/>
      <c r="F19" s="349"/>
    </row>
    <row r="20" spans="2:11" x14ac:dyDescent="0.2">
      <c r="G20" s="328"/>
    </row>
    <row r="21" spans="2:11" ht="13.5" thickBot="1" x14ac:dyDescent="0.25">
      <c r="F21" s="318" t="b">
        <f>ROUND(F22,2)=ROUND(SUM(G22:G22),2)</f>
        <v>1</v>
      </c>
      <c r="G21" s="329"/>
    </row>
    <row r="22" spans="2:11" ht="16.5" thickBot="1" x14ac:dyDescent="0.3">
      <c r="B22" s="24" t="s">
        <v>12</v>
      </c>
      <c r="C22" s="21" t="s">
        <v>11</v>
      </c>
      <c r="D22" s="330"/>
      <c r="E22" s="330"/>
      <c r="F22" s="332">
        <f>SUM(F25:F144)</f>
        <v>0</v>
      </c>
      <c r="G22" s="330">
        <f>SUM(G25:G144)</f>
        <v>0</v>
      </c>
      <c r="H22" s="330"/>
      <c r="I22" s="330">
        <f>SUM(I25:I144)</f>
        <v>0</v>
      </c>
      <c r="J22" s="331"/>
      <c r="K22" s="331">
        <f>SUM(K25:K144)</f>
        <v>0</v>
      </c>
    </row>
    <row r="23" spans="2:11" ht="34.5" customHeight="1" x14ac:dyDescent="0.2">
      <c r="B23" s="344" t="s">
        <v>184</v>
      </c>
      <c r="C23" s="19" t="s">
        <v>10</v>
      </c>
      <c r="D23" s="334" t="s">
        <v>181</v>
      </c>
      <c r="E23" s="334" t="s">
        <v>182</v>
      </c>
      <c r="F23" s="333" t="s">
        <v>94</v>
      </c>
      <c r="G23" s="334" t="s">
        <v>93</v>
      </c>
      <c r="H23" s="334" t="s">
        <v>91</v>
      </c>
      <c r="I23" s="334" t="s">
        <v>95</v>
      </c>
      <c r="J23" s="335" t="s">
        <v>90</v>
      </c>
      <c r="K23" s="335" t="s">
        <v>183</v>
      </c>
    </row>
    <row r="24" spans="2:11" ht="13.5" thickBot="1" x14ac:dyDescent="0.25">
      <c r="B24" s="8">
        <v>0</v>
      </c>
      <c r="C24" s="336">
        <f>D10</f>
        <v>0</v>
      </c>
      <c r="D24" s="338"/>
      <c r="E24" s="338"/>
      <c r="F24" s="337"/>
      <c r="G24" s="338"/>
      <c r="H24" s="338">
        <f>F24-G24</f>
        <v>0</v>
      </c>
      <c r="I24" s="338"/>
      <c r="J24" s="339">
        <f>D9</f>
        <v>0</v>
      </c>
      <c r="K24" s="339"/>
    </row>
    <row r="25" spans="2:11" x14ac:dyDescent="0.2">
      <c r="B25" s="13">
        <v>1</v>
      </c>
      <c r="C25" s="12">
        <f>EOMONTH(C24,1)</f>
        <v>59</v>
      </c>
      <c r="D25" s="340" t="str">
        <f t="shared" ref="D25:D56" si="0">IF(E25="bullet","interest",IFERROR(INDEX($H$7:$H$18,MATCH(C25,$G$7:$G$18,0)),"n/a"))</f>
        <v>n/a</v>
      </c>
      <c r="E25" s="340" t="str">
        <f t="shared" ref="E25:E56" si="1">IF(C25=$D$11,"bullet",IFERROR(INDEX($K$7:$K$18,MATCH(C25,$J$7:$J$18,0)),"n/a"))</f>
        <v>n/a</v>
      </c>
      <c r="F25" s="341">
        <f>J24*$D$12*(C25-C24+1)/360</f>
        <v>0</v>
      </c>
      <c r="G25" s="328">
        <f t="shared" ref="G25:G56" si="2">IF(D25="n/a",0,MIN(D25,F25+H24))</f>
        <v>0</v>
      </c>
      <c r="H25" s="328">
        <f>H24+F25-G25</f>
        <v>0</v>
      </c>
      <c r="I25" s="328">
        <f>IF(E25="n/a",0,IF(E25="bullet",J24,MIN(E25,J24)))</f>
        <v>0</v>
      </c>
      <c r="J25" s="342">
        <f>J24-I25</f>
        <v>0</v>
      </c>
      <c r="K25" s="342">
        <f t="shared" ref="K25:K56" si="3">G25+I25</f>
        <v>0</v>
      </c>
    </row>
    <row r="26" spans="2:11" x14ac:dyDescent="0.2">
      <c r="B26" s="13">
        <v>2</v>
      </c>
      <c r="C26" s="12">
        <f t="shared" ref="C26:C89" si="4">EOMONTH(C25,1)</f>
        <v>91</v>
      </c>
      <c r="D26" s="340" t="str">
        <f t="shared" si="0"/>
        <v>n/a</v>
      </c>
      <c r="E26" s="340" t="str">
        <f t="shared" si="1"/>
        <v>n/a</v>
      </c>
      <c r="F26" s="341">
        <f t="shared" ref="F26:F89" si="5">J25*$D$12*(C26-C25)/360</f>
        <v>0</v>
      </c>
      <c r="G26" s="328">
        <f t="shared" si="2"/>
        <v>0</v>
      </c>
      <c r="H26" s="328">
        <f t="shared" ref="H26:H89" si="6">H25+F26-G26</f>
        <v>0</v>
      </c>
      <c r="I26" s="328">
        <f t="shared" ref="I26:I89" si="7">IF(E26="n/a",0,IF(E26="bullet",J25,MIN(E26,J25)))</f>
        <v>0</v>
      </c>
      <c r="J26" s="342">
        <f t="shared" ref="J26:J89" si="8">J25-I26</f>
        <v>0</v>
      </c>
      <c r="K26" s="342">
        <f t="shared" si="3"/>
        <v>0</v>
      </c>
    </row>
    <row r="27" spans="2:11" x14ac:dyDescent="0.2">
      <c r="B27" s="13">
        <v>3</v>
      </c>
      <c r="C27" s="12">
        <f t="shared" si="4"/>
        <v>121</v>
      </c>
      <c r="D27" s="340" t="str">
        <f t="shared" si="0"/>
        <v>n/a</v>
      </c>
      <c r="E27" s="340" t="str">
        <f t="shared" si="1"/>
        <v>n/a</v>
      </c>
      <c r="F27" s="341">
        <f t="shared" si="5"/>
        <v>0</v>
      </c>
      <c r="G27" s="328">
        <f t="shared" si="2"/>
        <v>0</v>
      </c>
      <c r="H27" s="328">
        <f t="shared" si="6"/>
        <v>0</v>
      </c>
      <c r="I27" s="328">
        <f t="shared" si="7"/>
        <v>0</v>
      </c>
      <c r="J27" s="342">
        <f t="shared" si="8"/>
        <v>0</v>
      </c>
      <c r="K27" s="342">
        <f t="shared" si="3"/>
        <v>0</v>
      </c>
    </row>
    <row r="28" spans="2:11" x14ac:dyDescent="0.2">
      <c r="B28" s="13">
        <v>4</v>
      </c>
      <c r="C28" s="12">
        <f t="shared" si="4"/>
        <v>152</v>
      </c>
      <c r="D28" s="340" t="str">
        <f t="shared" si="0"/>
        <v>n/a</v>
      </c>
      <c r="E28" s="340" t="str">
        <f t="shared" si="1"/>
        <v>n/a</v>
      </c>
      <c r="F28" s="341">
        <f t="shared" si="5"/>
        <v>0</v>
      </c>
      <c r="G28" s="328">
        <f t="shared" si="2"/>
        <v>0</v>
      </c>
      <c r="H28" s="328">
        <f t="shared" si="6"/>
        <v>0</v>
      </c>
      <c r="I28" s="328">
        <f t="shared" si="7"/>
        <v>0</v>
      </c>
      <c r="J28" s="342">
        <f t="shared" si="8"/>
        <v>0</v>
      </c>
      <c r="K28" s="342">
        <f t="shared" si="3"/>
        <v>0</v>
      </c>
    </row>
    <row r="29" spans="2:11" x14ac:dyDescent="0.2">
      <c r="B29" s="13">
        <v>5</v>
      </c>
      <c r="C29" s="12">
        <f t="shared" si="4"/>
        <v>182</v>
      </c>
      <c r="D29" s="340" t="str">
        <f t="shared" si="0"/>
        <v>n/a</v>
      </c>
      <c r="E29" s="340" t="str">
        <f t="shared" si="1"/>
        <v>n/a</v>
      </c>
      <c r="F29" s="341">
        <f t="shared" si="5"/>
        <v>0</v>
      </c>
      <c r="G29" s="328">
        <f t="shared" si="2"/>
        <v>0</v>
      </c>
      <c r="H29" s="328">
        <f t="shared" si="6"/>
        <v>0</v>
      </c>
      <c r="I29" s="328">
        <f t="shared" si="7"/>
        <v>0</v>
      </c>
      <c r="J29" s="342">
        <f t="shared" si="8"/>
        <v>0</v>
      </c>
      <c r="K29" s="342">
        <f t="shared" si="3"/>
        <v>0</v>
      </c>
    </row>
    <row r="30" spans="2:11" x14ac:dyDescent="0.2">
      <c r="B30" s="13">
        <v>6</v>
      </c>
      <c r="C30" s="12">
        <f t="shared" si="4"/>
        <v>213</v>
      </c>
      <c r="D30" s="340" t="str">
        <f t="shared" si="0"/>
        <v>n/a</v>
      </c>
      <c r="E30" s="340" t="str">
        <f t="shared" si="1"/>
        <v>n/a</v>
      </c>
      <c r="F30" s="341">
        <f t="shared" si="5"/>
        <v>0</v>
      </c>
      <c r="G30" s="328">
        <f t="shared" si="2"/>
        <v>0</v>
      </c>
      <c r="H30" s="328">
        <f t="shared" si="6"/>
        <v>0</v>
      </c>
      <c r="I30" s="328">
        <f t="shared" si="7"/>
        <v>0</v>
      </c>
      <c r="J30" s="342">
        <f t="shared" si="8"/>
        <v>0</v>
      </c>
      <c r="K30" s="342">
        <f t="shared" si="3"/>
        <v>0</v>
      </c>
    </row>
    <row r="31" spans="2:11" x14ac:dyDescent="0.2">
      <c r="B31" s="13">
        <v>7</v>
      </c>
      <c r="C31" s="12">
        <f t="shared" si="4"/>
        <v>244</v>
      </c>
      <c r="D31" s="340" t="str">
        <f t="shared" si="0"/>
        <v>n/a</v>
      </c>
      <c r="E31" s="340" t="str">
        <f t="shared" si="1"/>
        <v>n/a</v>
      </c>
      <c r="F31" s="341">
        <f t="shared" si="5"/>
        <v>0</v>
      </c>
      <c r="G31" s="328">
        <f t="shared" si="2"/>
        <v>0</v>
      </c>
      <c r="H31" s="328">
        <f t="shared" si="6"/>
        <v>0</v>
      </c>
      <c r="I31" s="328">
        <f t="shared" si="7"/>
        <v>0</v>
      </c>
      <c r="J31" s="342">
        <f t="shared" si="8"/>
        <v>0</v>
      </c>
      <c r="K31" s="342">
        <f t="shared" si="3"/>
        <v>0</v>
      </c>
    </row>
    <row r="32" spans="2:11" x14ac:dyDescent="0.2">
      <c r="B32" s="13">
        <v>8</v>
      </c>
      <c r="C32" s="12">
        <f t="shared" si="4"/>
        <v>274</v>
      </c>
      <c r="D32" s="340" t="str">
        <f t="shared" si="0"/>
        <v>n/a</v>
      </c>
      <c r="E32" s="340" t="str">
        <f t="shared" si="1"/>
        <v>n/a</v>
      </c>
      <c r="F32" s="341">
        <f t="shared" si="5"/>
        <v>0</v>
      </c>
      <c r="G32" s="328">
        <f t="shared" si="2"/>
        <v>0</v>
      </c>
      <c r="H32" s="328">
        <f t="shared" si="6"/>
        <v>0</v>
      </c>
      <c r="I32" s="328">
        <f t="shared" si="7"/>
        <v>0</v>
      </c>
      <c r="J32" s="342">
        <f t="shared" si="8"/>
        <v>0</v>
      </c>
      <c r="K32" s="342">
        <f t="shared" si="3"/>
        <v>0</v>
      </c>
    </row>
    <row r="33" spans="2:11" x14ac:dyDescent="0.2">
      <c r="B33" s="13">
        <v>9</v>
      </c>
      <c r="C33" s="12">
        <f t="shared" si="4"/>
        <v>305</v>
      </c>
      <c r="D33" s="340" t="str">
        <f t="shared" si="0"/>
        <v>n/a</v>
      </c>
      <c r="E33" s="340" t="str">
        <f t="shared" si="1"/>
        <v>n/a</v>
      </c>
      <c r="F33" s="341">
        <f t="shared" si="5"/>
        <v>0</v>
      </c>
      <c r="G33" s="328">
        <f t="shared" si="2"/>
        <v>0</v>
      </c>
      <c r="H33" s="328">
        <f t="shared" si="6"/>
        <v>0</v>
      </c>
      <c r="I33" s="328">
        <f t="shared" si="7"/>
        <v>0</v>
      </c>
      <c r="J33" s="342">
        <f t="shared" si="8"/>
        <v>0</v>
      </c>
      <c r="K33" s="342">
        <f t="shared" si="3"/>
        <v>0</v>
      </c>
    </row>
    <row r="34" spans="2:11" x14ac:dyDescent="0.2">
      <c r="B34" s="13">
        <v>10</v>
      </c>
      <c r="C34" s="12">
        <f t="shared" si="4"/>
        <v>335</v>
      </c>
      <c r="D34" s="340" t="str">
        <f t="shared" si="0"/>
        <v>n/a</v>
      </c>
      <c r="E34" s="340" t="str">
        <f t="shared" si="1"/>
        <v>n/a</v>
      </c>
      <c r="F34" s="341">
        <f t="shared" si="5"/>
        <v>0</v>
      </c>
      <c r="G34" s="328">
        <f t="shared" si="2"/>
        <v>0</v>
      </c>
      <c r="H34" s="328">
        <f t="shared" si="6"/>
        <v>0</v>
      </c>
      <c r="I34" s="328">
        <f t="shared" si="7"/>
        <v>0</v>
      </c>
      <c r="J34" s="342">
        <f t="shared" si="8"/>
        <v>0</v>
      </c>
      <c r="K34" s="342">
        <f t="shared" si="3"/>
        <v>0</v>
      </c>
    </row>
    <row r="35" spans="2:11" x14ac:dyDescent="0.2">
      <c r="B35" s="13">
        <v>11</v>
      </c>
      <c r="C35" s="12">
        <f t="shared" si="4"/>
        <v>366</v>
      </c>
      <c r="D35" s="340" t="str">
        <f t="shared" si="0"/>
        <v>n/a</v>
      </c>
      <c r="E35" s="340" t="str">
        <f t="shared" si="1"/>
        <v>n/a</v>
      </c>
      <c r="F35" s="341">
        <f t="shared" si="5"/>
        <v>0</v>
      </c>
      <c r="G35" s="328">
        <f t="shared" si="2"/>
        <v>0</v>
      </c>
      <c r="H35" s="328">
        <f t="shared" si="6"/>
        <v>0</v>
      </c>
      <c r="I35" s="328">
        <f t="shared" si="7"/>
        <v>0</v>
      </c>
      <c r="J35" s="342">
        <f t="shared" si="8"/>
        <v>0</v>
      </c>
      <c r="K35" s="342">
        <f t="shared" si="3"/>
        <v>0</v>
      </c>
    </row>
    <row r="36" spans="2:11" x14ac:dyDescent="0.2">
      <c r="B36" s="13">
        <v>12</v>
      </c>
      <c r="C36" s="12">
        <f t="shared" si="4"/>
        <v>397</v>
      </c>
      <c r="D36" s="340" t="str">
        <f t="shared" si="0"/>
        <v>n/a</v>
      </c>
      <c r="E36" s="340" t="str">
        <f t="shared" si="1"/>
        <v>n/a</v>
      </c>
      <c r="F36" s="341">
        <f t="shared" si="5"/>
        <v>0</v>
      </c>
      <c r="G36" s="328">
        <f t="shared" si="2"/>
        <v>0</v>
      </c>
      <c r="H36" s="328">
        <f t="shared" si="6"/>
        <v>0</v>
      </c>
      <c r="I36" s="328">
        <f t="shared" si="7"/>
        <v>0</v>
      </c>
      <c r="J36" s="342">
        <f t="shared" si="8"/>
        <v>0</v>
      </c>
      <c r="K36" s="342">
        <f t="shared" si="3"/>
        <v>0</v>
      </c>
    </row>
    <row r="37" spans="2:11" x14ac:dyDescent="0.2">
      <c r="B37" s="13">
        <v>13</v>
      </c>
      <c r="C37" s="12">
        <f t="shared" si="4"/>
        <v>425</v>
      </c>
      <c r="D37" s="340" t="str">
        <f t="shared" si="0"/>
        <v>n/a</v>
      </c>
      <c r="E37" s="340" t="str">
        <f t="shared" si="1"/>
        <v>n/a</v>
      </c>
      <c r="F37" s="341">
        <f t="shared" si="5"/>
        <v>0</v>
      </c>
      <c r="G37" s="328">
        <f t="shared" si="2"/>
        <v>0</v>
      </c>
      <c r="H37" s="328">
        <f t="shared" si="6"/>
        <v>0</v>
      </c>
      <c r="I37" s="328">
        <f t="shared" si="7"/>
        <v>0</v>
      </c>
      <c r="J37" s="342">
        <f t="shared" si="8"/>
        <v>0</v>
      </c>
      <c r="K37" s="342">
        <f t="shared" si="3"/>
        <v>0</v>
      </c>
    </row>
    <row r="38" spans="2:11" x14ac:dyDescent="0.2">
      <c r="B38" s="13">
        <v>14</v>
      </c>
      <c r="C38" s="12">
        <f t="shared" si="4"/>
        <v>456</v>
      </c>
      <c r="D38" s="340" t="str">
        <f t="shared" si="0"/>
        <v>n/a</v>
      </c>
      <c r="E38" s="340" t="str">
        <f t="shared" si="1"/>
        <v>n/a</v>
      </c>
      <c r="F38" s="341">
        <f t="shared" si="5"/>
        <v>0</v>
      </c>
      <c r="G38" s="328">
        <f t="shared" si="2"/>
        <v>0</v>
      </c>
      <c r="H38" s="328">
        <f t="shared" si="6"/>
        <v>0</v>
      </c>
      <c r="I38" s="328">
        <f t="shared" si="7"/>
        <v>0</v>
      </c>
      <c r="J38" s="342">
        <f t="shared" si="8"/>
        <v>0</v>
      </c>
      <c r="K38" s="342">
        <f t="shared" si="3"/>
        <v>0</v>
      </c>
    </row>
    <row r="39" spans="2:11" x14ac:dyDescent="0.2">
      <c r="B39" s="13">
        <v>15</v>
      </c>
      <c r="C39" s="12">
        <f t="shared" si="4"/>
        <v>486</v>
      </c>
      <c r="D39" s="340" t="str">
        <f t="shared" si="0"/>
        <v>n/a</v>
      </c>
      <c r="E39" s="340" t="str">
        <f t="shared" si="1"/>
        <v>n/a</v>
      </c>
      <c r="F39" s="341">
        <f t="shared" si="5"/>
        <v>0</v>
      </c>
      <c r="G39" s="328">
        <f t="shared" si="2"/>
        <v>0</v>
      </c>
      <c r="H39" s="328">
        <f t="shared" si="6"/>
        <v>0</v>
      </c>
      <c r="I39" s="328">
        <f t="shared" si="7"/>
        <v>0</v>
      </c>
      <c r="J39" s="342">
        <f t="shared" si="8"/>
        <v>0</v>
      </c>
      <c r="K39" s="342">
        <f t="shared" si="3"/>
        <v>0</v>
      </c>
    </row>
    <row r="40" spans="2:11" x14ac:dyDescent="0.2">
      <c r="B40" s="13">
        <v>16</v>
      </c>
      <c r="C40" s="12">
        <f t="shared" si="4"/>
        <v>517</v>
      </c>
      <c r="D40" s="340" t="str">
        <f t="shared" si="0"/>
        <v>n/a</v>
      </c>
      <c r="E40" s="340" t="str">
        <f t="shared" si="1"/>
        <v>n/a</v>
      </c>
      <c r="F40" s="341">
        <f t="shared" si="5"/>
        <v>0</v>
      </c>
      <c r="G40" s="328">
        <f t="shared" si="2"/>
        <v>0</v>
      </c>
      <c r="H40" s="328">
        <f t="shared" si="6"/>
        <v>0</v>
      </c>
      <c r="I40" s="328">
        <f t="shared" si="7"/>
        <v>0</v>
      </c>
      <c r="J40" s="342">
        <f t="shared" si="8"/>
        <v>0</v>
      </c>
      <c r="K40" s="342">
        <f t="shared" si="3"/>
        <v>0</v>
      </c>
    </row>
    <row r="41" spans="2:11" x14ac:dyDescent="0.2">
      <c r="B41" s="13">
        <v>17</v>
      </c>
      <c r="C41" s="12">
        <f t="shared" si="4"/>
        <v>547</v>
      </c>
      <c r="D41" s="340" t="str">
        <f t="shared" si="0"/>
        <v>n/a</v>
      </c>
      <c r="E41" s="340" t="str">
        <f t="shared" si="1"/>
        <v>n/a</v>
      </c>
      <c r="F41" s="341">
        <f t="shared" si="5"/>
        <v>0</v>
      </c>
      <c r="G41" s="328">
        <f t="shared" si="2"/>
        <v>0</v>
      </c>
      <c r="H41" s="328">
        <f t="shared" si="6"/>
        <v>0</v>
      </c>
      <c r="I41" s="328">
        <f t="shared" si="7"/>
        <v>0</v>
      </c>
      <c r="J41" s="342">
        <f t="shared" si="8"/>
        <v>0</v>
      </c>
      <c r="K41" s="342">
        <f t="shared" si="3"/>
        <v>0</v>
      </c>
    </row>
    <row r="42" spans="2:11" x14ac:dyDescent="0.2">
      <c r="B42" s="13">
        <v>18</v>
      </c>
      <c r="C42" s="12">
        <f t="shared" si="4"/>
        <v>578</v>
      </c>
      <c r="D42" s="340" t="str">
        <f t="shared" si="0"/>
        <v>n/a</v>
      </c>
      <c r="E42" s="340" t="str">
        <f t="shared" si="1"/>
        <v>n/a</v>
      </c>
      <c r="F42" s="341">
        <f t="shared" si="5"/>
        <v>0</v>
      </c>
      <c r="G42" s="328">
        <f t="shared" si="2"/>
        <v>0</v>
      </c>
      <c r="H42" s="328">
        <f t="shared" si="6"/>
        <v>0</v>
      </c>
      <c r="I42" s="328">
        <f t="shared" si="7"/>
        <v>0</v>
      </c>
      <c r="J42" s="342">
        <f t="shared" si="8"/>
        <v>0</v>
      </c>
      <c r="K42" s="342">
        <f t="shared" si="3"/>
        <v>0</v>
      </c>
    </row>
    <row r="43" spans="2:11" x14ac:dyDescent="0.2">
      <c r="B43" s="13">
        <v>19</v>
      </c>
      <c r="C43" s="12">
        <f t="shared" si="4"/>
        <v>609</v>
      </c>
      <c r="D43" s="340" t="str">
        <f t="shared" si="0"/>
        <v>n/a</v>
      </c>
      <c r="E43" s="340" t="str">
        <f t="shared" si="1"/>
        <v>n/a</v>
      </c>
      <c r="F43" s="341">
        <f t="shared" si="5"/>
        <v>0</v>
      </c>
      <c r="G43" s="328">
        <f t="shared" si="2"/>
        <v>0</v>
      </c>
      <c r="H43" s="328">
        <f t="shared" si="6"/>
        <v>0</v>
      </c>
      <c r="I43" s="328">
        <f t="shared" si="7"/>
        <v>0</v>
      </c>
      <c r="J43" s="342">
        <f t="shared" si="8"/>
        <v>0</v>
      </c>
      <c r="K43" s="342">
        <f t="shared" si="3"/>
        <v>0</v>
      </c>
    </row>
    <row r="44" spans="2:11" x14ac:dyDescent="0.2">
      <c r="B44" s="13">
        <v>20</v>
      </c>
      <c r="C44" s="12">
        <f t="shared" si="4"/>
        <v>639</v>
      </c>
      <c r="D44" s="340" t="str">
        <f t="shared" si="0"/>
        <v>n/a</v>
      </c>
      <c r="E44" s="340" t="str">
        <f t="shared" si="1"/>
        <v>n/a</v>
      </c>
      <c r="F44" s="341">
        <f t="shared" si="5"/>
        <v>0</v>
      </c>
      <c r="G44" s="328">
        <f t="shared" si="2"/>
        <v>0</v>
      </c>
      <c r="H44" s="328">
        <f t="shared" si="6"/>
        <v>0</v>
      </c>
      <c r="I44" s="328">
        <f t="shared" si="7"/>
        <v>0</v>
      </c>
      <c r="J44" s="342">
        <f t="shared" si="8"/>
        <v>0</v>
      </c>
      <c r="K44" s="342">
        <f t="shared" si="3"/>
        <v>0</v>
      </c>
    </row>
    <row r="45" spans="2:11" x14ac:dyDescent="0.2">
      <c r="B45" s="13">
        <v>21</v>
      </c>
      <c r="C45" s="12">
        <f t="shared" si="4"/>
        <v>670</v>
      </c>
      <c r="D45" s="340" t="str">
        <f t="shared" si="0"/>
        <v>n/a</v>
      </c>
      <c r="E45" s="340" t="str">
        <f t="shared" si="1"/>
        <v>n/a</v>
      </c>
      <c r="F45" s="341">
        <f t="shared" si="5"/>
        <v>0</v>
      </c>
      <c r="G45" s="328">
        <f t="shared" si="2"/>
        <v>0</v>
      </c>
      <c r="H45" s="328">
        <f t="shared" si="6"/>
        <v>0</v>
      </c>
      <c r="I45" s="328">
        <f t="shared" si="7"/>
        <v>0</v>
      </c>
      <c r="J45" s="342">
        <f t="shared" si="8"/>
        <v>0</v>
      </c>
      <c r="K45" s="342">
        <f t="shared" si="3"/>
        <v>0</v>
      </c>
    </row>
    <row r="46" spans="2:11" x14ac:dyDescent="0.2">
      <c r="B46" s="13">
        <v>22</v>
      </c>
      <c r="C46" s="12">
        <f t="shared" si="4"/>
        <v>700</v>
      </c>
      <c r="D46" s="340" t="str">
        <f t="shared" si="0"/>
        <v>n/a</v>
      </c>
      <c r="E46" s="340" t="str">
        <f t="shared" si="1"/>
        <v>n/a</v>
      </c>
      <c r="F46" s="341">
        <f t="shared" si="5"/>
        <v>0</v>
      </c>
      <c r="G46" s="328">
        <f t="shared" si="2"/>
        <v>0</v>
      </c>
      <c r="H46" s="328">
        <f t="shared" si="6"/>
        <v>0</v>
      </c>
      <c r="I46" s="328">
        <f t="shared" si="7"/>
        <v>0</v>
      </c>
      <c r="J46" s="342">
        <f t="shared" si="8"/>
        <v>0</v>
      </c>
      <c r="K46" s="342">
        <f t="shared" si="3"/>
        <v>0</v>
      </c>
    </row>
    <row r="47" spans="2:11" x14ac:dyDescent="0.2">
      <c r="B47" s="13">
        <v>23</v>
      </c>
      <c r="C47" s="12">
        <f t="shared" si="4"/>
        <v>731</v>
      </c>
      <c r="D47" s="340" t="str">
        <f t="shared" si="0"/>
        <v>n/a</v>
      </c>
      <c r="E47" s="340" t="str">
        <f t="shared" si="1"/>
        <v>n/a</v>
      </c>
      <c r="F47" s="341">
        <f t="shared" si="5"/>
        <v>0</v>
      </c>
      <c r="G47" s="328">
        <f t="shared" si="2"/>
        <v>0</v>
      </c>
      <c r="H47" s="328">
        <f t="shared" si="6"/>
        <v>0</v>
      </c>
      <c r="I47" s="328">
        <f t="shared" si="7"/>
        <v>0</v>
      </c>
      <c r="J47" s="342">
        <f t="shared" si="8"/>
        <v>0</v>
      </c>
      <c r="K47" s="342">
        <f t="shared" si="3"/>
        <v>0</v>
      </c>
    </row>
    <row r="48" spans="2:11" x14ac:dyDescent="0.2">
      <c r="B48" s="13">
        <v>24</v>
      </c>
      <c r="C48" s="12">
        <f t="shared" si="4"/>
        <v>762</v>
      </c>
      <c r="D48" s="340" t="str">
        <f t="shared" si="0"/>
        <v>n/a</v>
      </c>
      <c r="E48" s="340" t="str">
        <f t="shared" si="1"/>
        <v>n/a</v>
      </c>
      <c r="F48" s="341">
        <f t="shared" si="5"/>
        <v>0</v>
      </c>
      <c r="G48" s="328">
        <f t="shared" si="2"/>
        <v>0</v>
      </c>
      <c r="H48" s="328">
        <f t="shared" si="6"/>
        <v>0</v>
      </c>
      <c r="I48" s="328">
        <f t="shared" si="7"/>
        <v>0</v>
      </c>
      <c r="J48" s="342">
        <f t="shared" si="8"/>
        <v>0</v>
      </c>
      <c r="K48" s="342">
        <f t="shared" si="3"/>
        <v>0</v>
      </c>
    </row>
    <row r="49" spans="2:11" x14ac:dyDescent="0.2">
      <c r="B49" s="13">
        <v>25</v>
      </c>
      <c r="C49" s="12">
        <f t="shared" si="4"/>
        <v>790</v>
      </c>
      <c r="D49" s="340" t="str">
        <f t="shared" si="0"/>
        <v>n/a</v>
      </c>
      <c r="E49" s="340" t="str">
        <f t="shared" si="1"/>
        <v>n/a</v>
      </c>
      <c r="F49" s="341">
        <f t="shared" si="5"/>
        <v>0</v>
      </c>
      <c r="G49" s="328">
        <f t="shared" si="2"/>
        <v>0</v>
      </c>
      <c r="H49" s="328">
        <f t="shared" si="6"/>
        <v>0</v>
      </c>
      <c r="I49" s="328">
        <f t="shared" si="7"/>
        <v>0</v>
      </c>
      <c r="J49" s="342">
        <f t="shared" si="8"/>
        <v>0</v>
      </c>
      <c r="K49" s="342">
        <f t="shared" si="3"/>
        <v>0</v>
      </c>
    </row>
    <row r="50" spans="2:11" x14ac:dyDescent="0.2">
      <c r="B50" s="13">
        <v>26</v>
      </c>
      <c r="C50" s="12">
        <f t="shared" si="4"/>
        <v>821</v>
      </c>
      <c r="D50" s="340" t="str">
        <f t="shared" si="0"/>
        <v>n/a</v>
      </c>
      <c r="E50" s="340" t="str">
        <f t="shared" si="1"/>
        <v>n/a</v>
      </c>
      <c r="F50" s="341">
        <f t="shared" si="5"/>
        <v>0</v>
      </c>
      <c r="G50" s="328">
        <f t="shared" si="2"/>
        <v>0</v>
      </c>
      <c r="H50" s="328">
        <f t="shared" si="6"/>
        <v>0</v>
      </c>
      <c r="I50" s="328">
        <f t="shared" si="7"/>
        <v>0</v>
      </c>
      <c r="J50" s="342">
        <f t="shared" si="8"/>
        <v>0</v>
      </c>
      <c r="K50" s="342">
        <f t="shared" si="3"/>
        <v>0</v>
      </c>
    </row>
    <row r="51" spans="2:11" x14ac:dyDescent="0.2">
      <c r="B51" s="13">
        <v>27</v>
      </c>
      <c r="C51" s="12">
        <f t="shared" si="4"/>
        <v>851</v>
      </c>
      <c r="D51" s="340" t="str">
        <f t="shared" si="0"/>
        <v>n/a</v>
      </c>
      <c r="E51" s="340" t="str">
        <f t="shared" si="1"/>
        <v>n/a</v>
      </c>
      <c r="F51" s="341">
        <f t="shared" si="5"/>
        <v>0</v>
      </c>
      <c r="G51" s="328">
        <f t="shared" si="2"/>
        <v>0</v>
      </c>
      <c r="H51" s="328">
        <f t="shared" si="6"/>
        <v>0</v>
      </c>
      <c r="I51" s="328">
        <f t="shared" si="7"/>
        <v>0</v>
      </c>
      <c r="J51" s="342">
        <f t="shared" si="8"/>
        <v>0</v>
      </c>
      <c r="K51" s="342">
        <f t="shared" si="3"/>
        <v>0</v>
      </c>
    </row>
    <row r="52" spans="2:11" x14ac:dyDescent="0.2">
      <c r="B52" s="13">
        <v>28</v>
      </c>
      <c r="C52" s="12">
        <f t="shared" si="4"/>
        <v>882</v>
      </c>
      <c r="D52" s="340" t="str">
        <f t="shared" si="0"/>
        <v>n/a</v>
      </c>
      <c r="E52" s="340" t="str">
        <f t="shared" si="1"/>
        <v>n/a</v>
      </c>
      <c r="F52" s="341">
        <f t="shared" si="5"/>
        <v>0</v>
      </c>
      <c r="G52" s="328">
        <f t="shared" si="2"/>
        <v>0</v>
      </c>
      <c r="H52" s="328">
        <f t="shared" si="6"/>
        <v>0</v>
      </c>
      <c r="I52" s="328">
        <f t="shared" si="7"/>
        <v>0</v>
      </c>
      <c r="J52" s="342">
        <f t="shared" si="8"/>
        <v>0</v>
      </c>
      <c r="K52" s="342">
        <f t="shared" si="3"/>
        <v>0</v>
      </c>
    </row>
    <row r="53" spans="2:11" x14ac:dyDescent="0.2">
      <c r="B53" s="13">
        <v>29</v>
      </c>
      <c r="C53" s="12">
        <f t="shared" si="4"/>
        <v>912</v>
      </c>
      <c r="D53" s="340" t="str">
        <f t="shared" si="0"/>
        <v>n/a</v>
      </c>
      <c r="E53" s="340" t="str">
        <f t="shared" si="1"/>
        <v>n/a</v>
      </c>
      <c r="F53" s="341">
        <f t="shared" si="5"/>
        <v>0</v>
      </c>
      <c r="G53" s="328">
        <f t="shared" si="2"/>
        <v>0</v>
      </c>
      <c r="H53" s="328">
        <f t="shared" si="6"/>
        <v>0</v>
      </c>
      <c r="I53" s="328">
        <f t="shared" si="7"/>
        <v>0</v>
      </c>
      <c r="J53" s="342">
        <f t="shared" si="8"/>
        <v>0</v>
      </c>
      <c r="K53" s="342">
        <f t="shared" si="3"/>
        <v>0</v>
      </c>
    </row>
    <row r="54" spans="2:11" x14ac:dyDescent="0.2">
      <c r="B54" s="13">
        <v>30</v>
      </c>
      <c r="C54" s="12">
        <f t="shared" si="4"/>
        <v>943</v>
      </c>
      <c r="D54" s="340" t="str">
        <f t="shared" si="0"/>
        <v>n/a</v>
      </c>
      <c r="E54" s="340" t="str">
        <f t="shared" si="1"/>
        <v>n/a</v>
      </c>
      <c r="F54" s="341">
        <f t="shared" si="5"/>
        <v>0</v>
      </c>
      <c r="G54" s="328">
        <f t="shared" si="2"/>
        <v>0</v>
      </c>
      <c r="H54" s="328">
        <f t="shared" si="6"/>
        <v>0</v>
      </c>
      <c r="I54" s="328">
        <f t="shared" si="7"/>
        <v>0</v>
      </c>
      <c r="J54" s="342">
        <f t="shared" si="8"/>
        <v>0</v>
      </c>
      <c r="K54" s="342">
        <f t="shared" si="3"/>
        <v>0</v>
      </c>
    </row>
    <row r="55" spans="2:11" x14ac:dyDescent="0.2">
      <c r="B55" s="13">
        <v>31</v>
      </c>
      <c r="C55" s="12">
        <f t="shared" si="4"/>
        <v>974</v>
      </c>
      <c r="D55" s="340" t="str">
        <f t="shared" si="0"/>
        <v>n/a</v>
      </c>
      <c r="E55" s="340" t="str">
        <f t="shared" si="1"/>
        <v>n/a</v>
      </c>
      <c r="F55" s="341">
        <f t="shared" si="5"/>
        <v>0</v>
      </c>
      <c r="G55" s="328">
        <f t="shared" si="2"/>
        <v>0</v>
      </c>
      <c r="H55" s="328">
        <f t="shared" si="6"/>
        <v>0</v>
      </c>
      <c r="I55" s="328">
        <f t="shared" si="7"/>
        <v>0</v>
      </c>
      <c r="J55" s="342">
        <f t="shared" si="8"/>
        <v>0</v>
      </c>
      <c r="K55" s="342">
        <f t="shared" si="3"/>
        <v>0</v>
      </c>
    </row>
    <row r="56" spans="2:11" x14ac:dyDescent="0.2">
      <c r="B56" s="13">
        <v>32</v>
      </c>
      <c r="C56" s="12">
        <f t="shared" si="4"/>
        <v>1004</v>
      </c>
      <c r="D56" s="340" t="str">
        <f t="shared" si="0"/>
        <v>n/a</v>
      </c>
      <c r="E56" s="340" t="str">
        <f t="shared" si="1"/>
        <v>n/a</v>
      </c>
      <c r="F56" s="341">
        <f t="shared" si="5"/>
        <v>0</v>
      </c>
      <c r="G56" s="328">
        <f t="shared" si="2"/>
        <v>0</v>
      </c>
      <c r="H56" s="328">
        <f t="shared" si="6"/>
        <v>0</v>
      </c>
      <c r="I56" s="328">
        <f t="shared" si="7"/>
        <v>0</v>
      </c>
      <c r="J56" s="342">
        <f t="shared" si="8"/>
        <v>0</v>
      </c>
      <c r="K56" s="342">
        <f t="shared" si="3"/>
        <v>0</v>
      </c>
    </row>
    <row r="57" spans="2:11" x14ac:dyDescent="0.2">
      <c r="B57" s="13">
        <v>33</v>
      </c>
      <c r="C57" s="12">
        <f t="shared" si="4"/>
        <v>1035</v>
      </c>
      <c r="D57" s="340" t="str">
        <f t="shared" ref="D57:D88" si="9">IF(E57="bullet","interest",IFERROR(INDEX($H$7:$H$18,MATCH(C57,$G$7:$G$18,0)),"n/a"))</f>
        <v>n/a</v>
      </c>
      <c r="E57" s="340" t="str">
        <f t="shared" ref="E57:E88" si="10">IF(C57=$D$11,"bullet",IFERROR(INDEX($K$7:$K$18,MATCH(C57,$J$7:$J$18,0)),"n/a"))</f>
        <v>n/a</v>
      </c>
      <c r="F57" s="341">
        <f t="shared" si="5"/>
        <v>0</v>
      </c>
      <c r="G57" s="328">
        <f t="shared" ref="G57:G88" si="11">IF(D57="n/a",0,MIN(D57,F57+H56))</f>
        <v>0</v>
      </c>
      <c r="H57" s="328">
        <f t="shared" si="6"/>
        <v>0</v>
      </c>
      <c r="I57" s="328">
        <f t="shared" si="7"/>
        <v>0</v>
      </c>
      <c r="J57" s="342">
        <f t="shared" si="8"/>
        <v>0</v>
      </c>
      <c r="K57" s="342">
        <f t="shared" ref="K57:K88" si="12">G57+I57</f>
        <v>0</v>
      </c>
    </row>
    <row r="58" spans="2:11" x14ac:dyDescent="0.2">
      <c r="B58" s="13">
        <v>34</v>
      </c>
      <c r="C58" s="12">
        <f t="shared" si="4"/>
        <v>1065</v>
      </c>
      <c r="D58" s="340" t="str">
        <f t="shared" si="9"/>
        <v>n/a</v>
      </c>
      <c r="E58" s="340" t="str">
        <f t="shared" si="10"/>
        <v>n/a</v>
      </c>
      <c r="F58" s="341">
        <f t="shared" si="5"/>
        <v>0</v>
      </c>
      <c r="G58" s="328">
        <f t="shared" si="11"/>
        <v>0</v>
      </c>
      <c r="H58" s="328">
        <f t="shared" si="6"/>
        <v>0</v>
      </c>
      <c r="I58" s="328">
        <f t="shared" si="7"/>
        <v>0</v>
      </c>
      <c r="J58" s="342">
        <f t="shared" si="8"/>
        <v>0</v>
      </c>
      <c r="K58" s="342">
        <f t="shared" si="12"/>
        <v>0</v>
      </c>
    </row>
    <row r="59" spans="2:11" x14ac:dyDescent="0.2">
      <c r="B59" s="13">
        <v>35</v>
      </c>
      <c r="C59" s="12">
        <f t="shared" si="4"/>
        <v>1096</v>
      </c>
      <c r="D59" s="340" t="str">
        <f t="shared" si="9"/>
        <v>n/a</v>
      </c>
      <c r="E59" s="340" t="str">
        <f t="shared" si="10"/>
        <v>n/a</v>
      </c>
      <c r="F59" s="341">
        <f t="shared" si="5"/>
        <v>0</v>
      </c>
      <c r="G59" s="328">
        <f t="shared" si="11"/>
        <v>0</v>
      </c>
      <c r="H59" s="328">
        <f t="shared" si="6"/>
        <v>0</v>
      </c>
      <c r="I59" s="328">
        <f t="shared" si="7"/>
        <v>0</v>
      </c>
      <c r="J59" s="342">
        <f t="shared" si="8"/>
        <v>0</v>
      </c>
      <c r="K59" s="342">
        <f t="shared" si="12"/>
        <v>0</v>
      </c>
    </row>
    <row r="60" spans="2:11" x14ac:dyDescent="0.2">
      <c r="B60" s="13">
        <v>36</v>
      </c>
      <c r="C60" s="12">
        <f t="shared" si="4"/>
        <v>1127</v>
      </c>
      <c r="D60" s="340" t="str">
        <f t="shared" si="9"/>
        <v>n/a</v>
      </c>
      <c r="E60" s="340" t="str">
        <f t="shared" si="10"/>
        <v>n/a</v>
      </c>
      <c r="F60" s="341">
        <f t="shared" si="5"/>
        <v>0</v>
      </c>
      <c r="G60" s="328">
        <f t="shared" si="11"/>
        <v>0</v>
      </c>
      <c r="H60" s="328">
        <f t="shared" si="6"/>
        <v>0</v>
      </c>
      <c r="I60" s="328">
        <f t="shared" si="7"/>
        <v>0</v>
      </c>
      <c r="J60" s="342">
        <f t="shared" si="8"/>
        <v>0</v>
      </c>
      <c r="K60" s="342">
        <f t="shared" si="12"/>
        <v>0</v>
      </c>
    </row>
    <row r="61" spans="2:11" x14ac:dyDescent="0.2">
      <c r="B61" s="13">
        <v>37</v>
      </c>
      <c r="C61" s="12">
        <f t="shared" si="4"/>
        <v>1155</v>
      </c>
      <c r="D61" s="340" t="str">
        <f t="shared" si="9"/>
        <v>n/a</v>
      </c>
      <c r="E61" s="340" t="str">
        <f t="shared" si="10"/>
        <v>n/a</v>
      </c>
      <c r="F61" s="341">
        <f t="shared" si="5"/>
        <v>0</v>
      </c>
      <c r="G61" s="328">
        <f t="shared" si="11"/>
        <v>0</v>
      </c>
      <c r="H61" s="328">
        <f t="shared" si="6"/>
        <v>0</v>
      </c>
      <c r="I61" s="328">
        <f t="shared" si="7"/>
        <v>0</v>
      </c>
      <c r="J61" s="342">
        <f t="shared" si="8"/>
        <v>0</v>
      </c>
      <c r="K61" s="342">
        <f t="shared" si="12"/>
        <v>0</v>
      </c>
    </row>
    <row r="62" spans="2:11" x14ac:dyDescent="0.2">
      <c r="B62" s="13">
        <v>38</v>
      </c>
      <c r="C62" s="12">
        <f t="shared" si="4"/>
        <v>1186</v>
      </c>
      <c r="D62" s="340" t="str">
        <f t="shared" si="9"/>
        <v>n/a</v>
      </c>
      <c r="E62" s="340" t="str">
        <f t="shared" si="10"/>
        <v>n/a</v>
      </c>
      <c r="F62" s="341">
        <f t="shared" si="5"/>
        <v>0</v>
      </c>
      <c r="G62" s="328">
        <f t="shared" si="11"/>
        <v>0</v>
      </c>
      <c r="H62" s="328">
        <f t="shared" si="6"/>
        <v>0</v>
      </c>
      <c r="I62" s="328">
        <f t="shared" si="7"/>
        <v>0</v>
      </c>
      <c r="J62" s="342">
        <f t="shared" si="8"/>
        <v>0</v>
      </c>
      <c r="K62" s="342">
        <f t="shared" si="12"/>
        <v>0</v>
      </c>
    </row>
    <row r="63" spans="2:11" x14ac:dyDescent="0.2">
      <c r="B63" s="13">
        <v>39</v>
      </c>
      <c r="C63" s="12">
        <f t="shared" si="4"/>
        <v>1216</v>
      </c>
      <c r="D63" s="340" t="str">
        <f t="shared" si="9"/>
        <v>n/a</v>
      </c>
      <c r="E63" s="340" t="str">
        <f t="shared" si="10"/>
        <v>n/a</v>
      </c>
      <c r="F63" s="341">
        <f t="shared" si="5"/>
        <v>0</v>
      </c>
      <c r="G63" s="328">
        <f t="shared" si="11"/>
        <v>0</v>
      </c>
      <c r="H63" s="328">
        <f t="shared" si="6"/>
        <v>0</v>
      </c>
      <c r="I63" s="328">
        <f t="shared" si="7"/>
        <v>0</v>
      </c>
      <c r="J63" s="342">
        <f t="shared" si="8"/>
        <v>0</v>
      </c>
      <c r="K63" s="342">
        <f t="shared" si="12"/>
        <v>0</v>
      </c>
    </row>
    <row r="64" spans="2:11" x14ac:dyDescent="0.2">
      <c r="B64" s="13">
        <v>40</v>
      </c>
      <c r="C64" s="12">
        <f t="shared" si="4"/>
        <v>1247</v>
      </c>
      <c r="D64" s="340" t="str">
        <f t="shared" si="9"/>
        <v>n/a</v>
      </c>
      <c r="E64" s="340" t="str">
        <f t="shared" si="10"/>
        <v>n/a</v>
      </c>
      <c r="F64" s="341">
        <f t="shared" si="5"/>
        <v>0</v>
      </c>
      <c r="G64" s="328">
        <f t="shared" si="11"/>
        <v>0</v>
      </c>
      <c r="H64" s="328">
        <f t="shared" si="6"/>
        <v>0</v>
      </c>
      <c r="I64" s="328">
        <f t="shared" si="7"/>
        <v>0</v>
      </c>
      <c r="J64" s="342">
        <f t="shared" si="8"/>
        <v>0</v>
      </c>
      <c r="K64" s="342">
        <f t="shared" si="12"/>
        <v>0</v>
      </c>
    </row>
    <row r="65" spans="2:11" x14ac:dyDescent="0.2">
      <c r="B65" s="13">
        <v>41</v>
      </c>
      <c r="C65" s="12">
        <f t="shared" si="4"/>
        <v>1277</v>
      </c>
      <c r="D65" s="340" t="str">
        <f t="shared" si="9"/>
        <v>n/a</v>
      </c>
      <c r="E65" s="340" t="str">
        <f t="shared" si="10"/>
        <v>n/a</v>
      </c>
      <c r="F65" s="341">
        <f t="shared" si="5"/>
        <v>0</v>
      </c>
      <c r="G65" s="328">
        <f t="shared" si="11"/>
        <v>0</v>
      </c>
      <c r="H65" s="328">
        <f t="shared" si="6"/>
        <v>0</v>
      </c>
      <c r="I65" s="328">
        <f t="shared" si="7"/>
        <v>0</v>
      </c>
      <c r="J65" s="342">
        <f t="shared" si="8"/>
        <v>0</v>
      </c>
      <c r="K65" s="342">
        <f t="shared" si="12"/>
        <v>0</v>
      </c>
    </row>
    <row r="66" spans="2:11" x14ac:dyDescent="0.2">
      <c r="B66" s="13">
        <v>42</v>
      </c>
      <c r="C66" s="12">
        <f t="shared" si="4"/>
        <v>1308</v>
      </c>
      <c r="D66" s="340" t="str">
        <f t="shared" si="9"/>
        <v>n/a</v>
      </c>
      <c r="E66" s="340" t="str">
        <f t="shared" si="10"/>
        <v>n/a</v>
      </c>
      <c r="F66" s="341">
        <f t="shared" si="5"/>
        <v>0</v>
      </c>
      <c r="G66" s="328">
        <f t="shared" si="11"/>
        <v>0</v>
      </c>
      <c r="H66" s="328">
        <f t="shared" si="6"/>
        <v>0</v>
      </c>
      <c r="I66" s="328">
        <f t="shared" si="7"/>
        <v>0</v>
      </c>
      <c r="J66" s="342">
        <f t="shared" si="8"/>
        <v>0</v>
      </c>
      <c r="K66" s="342">
        <f t="shared" si="12"/>
        <v>0</v>
      </c>
    </row>
    <row r="67" spans="2:11" x14ac:dyDescent="0.2">
      <c r="B67" s="13">
        <v>43</v>
      </c>
      <c r="C67" s="12">
        <f t="shared" si="4"/>
        <v>1339</v>
      </c>
      <c r="D67" s="340" t="str">
        <f t="shared" si="9"/>
        <v>n/a</v>
      </c>
      <c r="E67" s="340" t="str">
        <f t="shared" si="10"/>
        <v>n/a</v>
      </c>
      <c r="F67" s="341">
        <f t="shared" si="5"/>
        <v>0</v>
      </c>
      <c r="G67" s="328">
        <f t="shared" si="11"/>
        <v>0</v>
      </c>
      <c r="H67" s="328">
        <f t="shared" si="6"/>
        <v>0</v>
      </c>
      <c r="I67" s="328">
        <f t="shared" si="7"/>
        <v>0</v>
      </c>
      <c r="J67" s="342">
        <f t="shared" si="8"/>
        <v>0</v>
      </c>
      <c r="K67" s="342">
        <f t="shared" si="12"/>
        <v>0</v>
      </c>
    </row>
    <row r="68" spans="2:11" x14ac:dyDescent="0.2">
      <c r="B68" s="13">
        <v>44</v>
      </c>
      <c r="C68" s="12">
        <f t="shared" si="4"/>
        <v>1369</v>
      </c>
      <c r="D68" s="340" t="str">
        <f t="shared" si="9"/>
        <v>n/a</v>
      </c>
      <c r="E68" s="340" t="str">
        <f t="shared" si="10"/>
        <v>n/a</v>
      </c>
      <c r="F68" s="341">
        <f t="shared" si="5"/>
        <v>0</v>
      </c>
      <c r="G68" s="328">
        <f t="shared" si="11"/>
        <v>0</v>
      </c>
      <c r="H68" s="328">
        <f t="shared" si="6"/>
        <v>0</v>
      </c>
      <c r="I68" s="328">
        <f t="shared" si="7"/>
        <v>0</v>
      </c>
      <c r="J68" s="342">
        <f t="shared" si="8"/>
        <v>0</v>
      </c>
      <c r="K68" s="342">
        <f t="shared" si="12"/>
        <v>0</v>
      </c>
    </row>
    <row r="69" spans="2:11" x14ac:dyDescent="0.2">
      <c r="B69" s="13">
        <v>45</v>
      </c>
      <c r="C69" s="12">
        <f t="shared" si="4"/>
        <v>1400</v>
      </c>
      <c r="D69" s="340" t="str">
        <f t="shared" si="9"/>
        <v>n/a</v>
      </c>
      <c r="E69" s="340" t="str">
        <f t="shared" si="10"/>
        <v>n/a</v>
      </c>
      <c r="F69" s="341">
        <f t="shared" si="5"/>
        <v>0</v>
      </c>
      <c r="G69" s="328">
        <f t="shared" si="11"/>
        <v>0</v>
      </c>
      <c r="H69" s="328">
        <f t="shared" si="6"/>
        <v>0</v>
      </c>
      <c r="I69" s="328">
        <f t="shared" si="7"/>
        <v>0</v>
      </c>
      <c r="J69" s="342">
        <f t="shared" si="8"/>
        <v>0</v>
      </c>
      <c r="K69" s="342">
        <f t="shared" si="12"/>
        <v>0</v>
      </c>
    </row>
    <row r="70" spans="2:11" x14ac:dyDescent="0.2">
      <c r="B70" s="13">
        <v>46</v>
      </c>
      <c r="C70" s="12">
        <f t="shared" si="4"/>
        <v>1430</v>
      </c>
      <c r="D70" s="340" t="str">
        <f t="shared" si="9"/>
        <v>n/a</v>
      </c>
      <c r="E70" s="340" t="str">
        <f t="shared" si="10"/>
        <v>n/a</v>
      </c>
      <c r="F70" s="341">
        <f t="shared" si="5"/>
        <v>0</v>
      </c>
      <c r="G70" s="328">
        <f t="shared" si="11"/>
        <v>0</v>
      </c>
      <c r="H70" s="328">
        <f t="shared" si="6"/>
        <v>0</v>
      </c>
      <c r="I70" s="328">
        <f t="shared" si="7"/>
        <v>0</v>
      </c>
      <c r="J70" s="342">
        <f t="shared" si="8"/>
        <v>0</v>
      </c>
      <c r="K70" s="342">
        <f t="shared" si="12"/>
        <v>0</v>
      </c>
    </row>
    <row r="71" spans="2:11" x14ac:dyDescent="0.2">
      <c r="B71" s="13">
        <v>47</v>
      </c>
      <c r="C71" s="12">
        <f t="shared" si="4"/>
        <v>1461</v>
      </c>
      <c r="D71" s="340" t="str">
        <f t="shared" si="9"/>
        <v>n/a</v>
      </c>
      <c r="E71" s="340" t="str">
        <f t="shared" si="10"/>
        <v>n/a</v>
      </c>
      <c r="F71" s="341">
        <f t="shared" si="5"/>
        <v>0</v>
      </c>
      <c r="G71" s="328">
        <f t="shared" si="11"/>
        <v>0</v>
      </c>
      <c r="H71" s="328">
        <f t="shared" si="6"/>
        <v>0</v>
      </c>
      <c r="I71" s="328">
        <f t="shared" si="7"/>
        <v>0</v>
      </c>
      <c r="J71" s="342">
        <f t="shared" si="8"/>
        <v>0</v>
      </c>
      <c r="K71" s="342">
        <f t="shared" si="12"/>
        <v>0</v>
      </c>
    </row>
    <row r="72" spans="2:11" x14ac:dyDescent="0.2">
      <c r="B72" s="13">
        <v>48</v>
      </c>
      <c r="C72" s="12">
        <f t="shared" si="4"/>
        <v>1492</v>
      </c>
      <c r="D72" s="340" t="str">
        <f t="shared" si="9"/>
        <v>n/a</v>
      </c>
      <c r="E72" s="340" t="str">
        <f t="shared" si="10"/>
        <v>n/a</v>
      </c>
      <c r="F72" s="341">
        <f t="shared" si="5"/>
        <v>0</v>
      </c>
      <c r="G72" s="328">
        <f t="shared" si="11"/>
        <v>0</v>
      </c>
      <c r="H72" s="328">
        <f t="shared" si="6"/>
        <v>0</v>
      </c>
      <c r="I72" s="328">
        <f t="shared" si="7"/>
        <v>0</v>
      </c>
      <c r="J72" s="342">
        <f t="shared" si="8"/>
        <v>0</v>
      </c>
      <c r="K72" s="342">
        <f t="shared" si="12"/>
        <v>0</v>
      </c>
    </row>
    <row r="73" spans="2:11" x14ac:dyDescent="0.2">
      <c r="B73" s="13">
        <v>49</v>
      </c>
      <c r="C73" s="12">
        <f t="shared" si="4"/>
        <v>1521</v>
      </c>
      <c r="D73" s="340" t="str">
        <f t="shared" si="9"/>
        <v>n/a</v>
      </c>
      <c r="E73" s="340" t="str">
        <f t="shared" si="10"/>
        <v>n/a</v>
      </c>
      <c r="F73" s="341">
        <f t="shared" si="5"/>
        <v>0</v>
      </c>
      <c r="G73" s="328">
        <f t="shared" si="11"/>
        <v>0</v>
      </c>
      <c r="H73" s="328">
        <f t="shared" si="6"/>
        <v>0</v>
      </c>
      <c r="I73" s="328">
        <f t="shared" si="7"/>
        <v>0</v>
      </c>
      <c r="J73" s="342">
        <f t="shared" si="8"/>
        <v>0</v>
      </c>
      <c r="K73" s="342">
        <f t="shared" si="12"/>
        <v>0</v>
      </c>
    </row>
    <row r="74" spans="2:11" x14ac:dyDescent="0.2">
      <c r="B74" s="13">
        <v>50</v>
      </c>
      <c r="C74" s="12">
        <f t="shared" si="4"/>
        <v>1552</v>
      </c>
      <c r="D74" s="340" t="str">
        <f t="shared" si="9"/>
        <v>n/a</v>
      </c>
      <c r="E74" s="340" t="str">
        <f t="shared" si="10"/>
        <v>n/a</v>
      </c>
      <c r="F74" s="341">
        <f t="shared" si="5"/>
        <v>0</v>
      </c>
      <c r="G74" s="328">
        <f t="shared" si="11"/>
        <v>0</v>
      </c>
      <c r="H74" s="328">
        <f t="shared" si="6"/>
        <v>0</v>
      </c>
      <c r="I74" s="328">
        <f t="shared" si="7"/>
        <v>0</v>
      </c>
      <c r="J74" s="342">
        <f t="shared" si="8"/>
        <v>0</v>
      </c>
      <c r="K74" s="342">
        <f t="shared" si="12"/>
        <v>0</v>
      </c>
    </row>
    <row r="75" spans="2:11" x14ac:dyDescent="0.2">
      <c r="B75" s="13">
        <v>51</v>
      </c>
      <c r="C75" s="12">
        <f t="shared" si="4"/>
        <v>1582</v>
      </c>
      <c r="D75" s="340" t="str">
        <f t="shared" si="9"/>
        <v>n/a</v>
      </c>
      <c r="E75" s="340" t="str">
        <f t="shared" si="10"/>
        <v>n/a</v>
      </c>
      <c r="F75" s="341">
        <f t="shared" si="5"/>
        <v>0</v>
      </c>
      <c r="G75" s="328">
        <f t="shared" si="11"/>
        <v>0</v>
      </c>
      <c r="H75" s="328">
        <f t="shared" si="6"/>
        <v>0</v>
      </c>
      <c r="I75" s="328">
        <f t="shared" si="7"/>
        <v>0</v>
      </c>
      <c r="J75" s="342">
        <f t="shared" si="8"/>
        <v>0</v>
      </c>
      <c r="K75" s="342">
        <f t="shared" si="12"/>
        <v>0</v>
      </c>
    </row>
    <row r="76" spans="2:11" x14ac:dyDescent="0.2">
      <c r="B76" s="13">
        <v>52</v>
      </c>
      <c r="C76" s="12">
        <f t="shared" si="4"/>
        <v>1613</v>
      </c>
      <c r="D76" s="340" t="str">
        <f t="shared" si="9"/>
        <v>n/a</v>
      </c>
      <c r="E76" s="340" t="str">
        <f t="shared" si="10"/>
        <v>n/a</v>
      </c>
      <c r="F76" s="341">
        <f t="shared" si="5"/>
        <v>0</v>
      </c>
      <c r="G76" s="328">
        <f t="shared" si="11"/>
        <v>0</v>
      </c>
      <c r="H76" s="328">
        <f t="shared" si="6"/>
        <v>0</v>
      </c>
      <c r="I76" s="328">
        <f t="shared" si="7"/>
        <v>0</v>
      </c>
      <c r="J76" s="342">
        <f t="shared" si="8"/>
        <v>0</v>
      </c>
      <c r="K76" s="342">
        <f t="shared" si="12"/>
        <v>0</v>
      </c>
    </row>
    <row r="77" spans="2:11" x14ac:dyDescent="0.2">
      <c r="B77" s="13">
        <v>53</v>
      </c>
      <c r="C77" s="12">
        <f t="shared" si="4"/>
        <v>1643</v>
      </c>
      <c r="D77" s="340" t="str">
        <f t="shared" si="9"/>
        <v>n/a</v>
      </c>
      <c r="E77" s="340" t="str">
        <f t="shared" si="10"/>
        <v>n/a</v>
      </c>
      <c r="F77" s="341">
        <f t="shared" si="5"/>
        <v>0</v>
      </c>
      <c r="G77" s="328">
        <f t="shared" si="11"/>
        <v>0</v>
      </c>
      <c r="H77" s="328">
        <f t="shared" si="6"/>
        <v>0</v>
      </c>
      <c r="I77" s="328">
        <f t="shared" si="7"/>
        <v>0</v>
      </c>
      <c r="J77" s="342">
        <f t="shared" si="8"/>
        <v>0</v>
      </c>
      <c r="K77" s="342">
        <f t="shared" si="12"/>
        <v>0</v>
      </c>
    </row>
    <row r="78" spans="2:11" x14ac:dyDescent="0.2">
      <c r="B78" s="13">
        <v>54</v>
      </c>
      <c r="C78" s="12">
        <f t="shared" si="4"/>
        <v>1674</v>
      </c>
      <c r="D78" s="340" t="str">
        <f t="shared" si="9"/>
        <v>n/a</v>
      </c>
      <c r="E78" s="340" t="str">
        <f t="shared" si="10"/>
        <v>n/a</v>
      </c>
      <c r="F78" s="341">
        <f t="shared" si="5"/>
        <v>0</v>
      </c>
      <c r="G78" s="328">
        <f t="shared" si="11"/>
        <v>0</v>
      </c>
      <c r="H78" s="328">
        <f t="shared" si="6"/>
        <v>0</v>
      </c>
      <c r="I78" s="328">
        <f t="shared" si="7"/>
        <v>0</v>
      </c>
      <c r="J78" s="342">
        <f t="shared" si="8"/>
        <v>0</v>
      </c>
      <c r="K78" s="342">
        <f t="shared" si="12"/>
        <v>0</v>
      </c>
    </row>
    <row r="79" spans="2:11" x14ac:dyDescent="0.2">
      <c r="B79" s="13">
        <v>55</v>
      </c>
      <c r="C79" s="12">
        <f t="shared" si="4"/>
        <v>1705</v>
      </c>
      <c r="D79" s="340" t="str">
        <f t="shared" si="9"/>
        <v>n/a</v>
      </c>
      <c r="E79" s="340" t="str">
        <f t="shared" si="10"/>
        <v>n/a</v>
      </c>
      <c r="F79" s="341">
        <f t="shared" si="5"/>
        <v>0</v>
      </c>
      <c r="G79" s="328">
        <f t="shared" si="11"/>
        <v>0</v>
      </c>
      <c r="H79" s="328">
        <f t="shared" si="6"/>
        <v>0</v>
      </c>
      <c r="I79" s="328">
        <f t="shared" si="7"/>
        <v>0</v>
      </c>
      <c r="J79" s="342">
        <f t="shared" si="8"/>
        <v>0</v>
      </c>
      <c r="K79" s="342">
        <f t="shared" si="12"/>
        <v>0</v>
      </c>
    </row>
    <row r="80" spans="2:11" x14ac:dyDescent="0.2">
      <c r="B80" s="13">
        <v>56</v>
      </c>
      <c r="C80" s="12">
        <f t="shared" si="4"/>
        <v>1735</v>
      </c>
      <c r="D80" s="340" t="str">
        <f t="shared" si="9"/>
        <v>n/a</v>
      </c>
      <c r="E80" s="340" t="str">
        <f t="shared" si="10"/>
        <v>n/a</v>
      </c>
      <c r="F80" s="341">
        <f t="shared" si="5"/>
        <v>0</v>
      </c>
      <c r="G80" s="328">
        <f t="shared" si="11"/>
        <v>0</v>
      </c>
      <c r="H80" s="328">
        <f t="shared" si="6"/>
        <v>0</v>
      </c>
      <c r="I80" s="328">
        <f t="shared" si="7"/>
        <v>0</v>
      </c>
      <c r="J80" s="342">
        <f t="shared" si="8"/>
        <v>0</v>
      </c>
      <c r="K80" s="342">
        <f t="shared" si="12"/>
        <v>0</v>
      </c>
    </row>
    <row r="81" spans="2:11" x14ac:dyDescent="0.2">
      <c r="B81" s="13">
        <v>57</v>
      </c>
      <c r="C81" s="12">
        <f t="shared" si="4"/>
        <v>1766</v>
      </c>
      <c r="D81" s="340" t="str">
        <f t="shared" si="9"/>
        <v>n/a</v>
      </c>
      <c r="E81" s="340" t="str">
        <f t="shared" si="10"/>
        <v>n/a</v>
      </c>
      <c r="F81" s="341">
        <f t="shared" si="5"/>
        <v>0</v>
      </c>
      <c r="G81" s="328">
        <f t="shared" si="11"/>
        <v>0</v>
      </c>
      <c r="H81" s="328">
        <f t="shared" si="6"/>
        <v>0</v>
      </c>
      <c r="I81" s="328">
        <f t="shared" si="7"/>
        <v>0</v>
      </c>
      <c r="J81" s="342">
        <f t="shared" si="8"/>
        <v>0</v>
      </c>
      <c r="K81" s="342">
        <f t="shared" si="12"/>
        <v>0</v>
      </c>
    </row>
    <row r="82" spans="2:11" x14ac:dyDescent="0.2">
      <c r="B82" s="13">
        <v>58</v>
      </c>
      <c r="C82" s="12">
        <f t="shared" si="4"/>
        <v>1796</v>
      </c>
      <c r="D82" s="340" t="str">
        <f t="shared" si="9"/>
        <v>n/a</v>
      </c>
      <c r="E82" s="340" t="str">
        <f t="shared" si="10"/>
        <v>n/a</v>
      </c>
      <c r="F82" s="341">
        <f t="shared" si="5"/>
        <v>0</v>
      </c>
      <c r="G82" s="328">
        <f t="shared" si="11"/>
        <v>0</v>
      </c>
      <c r="H82" s="328">
        <f t="shared" si="6"/>
        <v>0</v>
      </c>
      <c r="I82" s="328">
        <f t="shared" si="7"/>
        <v>0</v>
      </c>
      <c r="J82" s="342">
        <f t="shared" si="8"/>
        <v>0</v>
      </c>
      <c r="K82" s="342">
        <f t="shared" si="12"/>
        <v>0</v>
      </c>
    </row>
    <row r="83" spans="2:11" x14ac:dyDescent="0.2">
      <c r="B83" s="13">
        <v>59</v>
      </c>
      <c r="C83" s="12">
        <f t="shared" si="4"/>
        <v>1827</v>
      </c>
      <c r="D83" s="340" t="str">
        <f t="shared" si="9"/>
        <v>n/a</v>
      </c>
      <c r="E83" s="340" t="str">
        <f t="shared" si="10"/>
        <v>n/a</v>
      </c>
      <c r="F83" s="341">
        <f t="shared" si="5"/>
        <v>0</v>
      </c>
      <c r="G83" s="328">
        <f t="shared" si="11"/>
        <v>0</v>
      </c>
      <c r="H83" s="328">
        <f t="shared" si="6"/>
        <v>0</v>
      </c>
      <c r="I83" s="328">
        <f t="shared" si="7"/>
        <v>0</v>
      </c>
      <c r="J83" s="342">
        <f t="shared" si="8"/>
        <v>0</v>
      </c>
      <c r="K83" s="342">
        <f t="shared" si="12"/>
        <v>0</v>
      </c>
    </row>
    <row r="84" spans="2:11" x14ac:dyDescent="0.2">
      <c r="B84" s="13">
        <v>60</v>
      </c>
      <c r="C84" s="12">
        <f t="shared" si="4"/>
        <v>1858</v>
      </c>
      <c r="D84" s="340" t="str">
        <f t="shared" si="9"/>
        <v>n/a</v>
      </c>
      <c r="E84" s="340" t="str">
        <f t="shared" si="10"/>
        <v>n/a</v>
      </c>
      <c r="F84" s="341">
        <f t="shared" si="5"/>
        <v>0</v>
      </c>
      <c r="G84" s="328">
        <f t="shared" si="11"/>
        <v>0</v>
      </c>
      <c r="H84" s="328">
        <f t="shared" si="6"/>
        <v>0</v>
      </c>
      <c r="I84" s="328">
        <f t="shared" si="7"/>
        <v>0</v>
      </c>
      <c r="J84" s="342">
        <f t="shared" si="8"/>
        <v>0</v>
      </c>
      <c r="K84" s="342">
        <f t="shared" si="12"/>
        <v>0</v>
      </c>
    </row>
    <row r="85" spans="2:11" x14ac:dyDescent="0.2">
      <c r="B85" s="13">
        <v>61</v>
      </c>
      <c r="C85" s="12">
        <f t="shared" si="4"/>
        <v>1886</v>
      </c>
      <c r="D85" s="340" t="str">
        <f t="shared" si="9"/>
        <v>n/a</v>
      </c>
      <c r="E85" s="340" t="str">
        <f t="shared" si="10"/>
        <v>n/a</v>
      </c>
      <c r="F85" s="341">
        <f t="shared" si="5"/>
        <v>0</v>
      </c>
      <c r="G85" s="328">
        <f t="shared" si="11"/>
        <v>0</v>
      </c>
      <c r="H85" s="328">
        <f t="shared" si="6"/>
        <v>0</v>
      </c>
      <c r="I85" s="328">
        <f t="shared" si="7"/>
        <v>0</v>
      </c>
      <c r="J85" s="342">
        <f t="shared" si="8"/>
        <v>0</v>
      </c>
      <c r="K85" s="342">
        <f t="shared" si="12"/>
        <v>0</v>
      </c>
    </row>
    <row r="86" spans="2:11" x14ac:dyDescent="0.2">
      <c r="B86" s="13">
        <v>62</v>
      </c>
      <c r="C86" s="12">
        <f t="shared" si="4"/>
        <v>1917</v>
      </c>
      <c r="D86" s="340" t="str">
        <f t="shared" si="9"/>
        <v>n/a</v>
      </c>
      <c r="E86" s="340" t="str">
        <f t="shared" si="10"/>
        <v>n/a</v>
      </c>
      <c r="F86" s="341">
        <f t="shared" si="5"/>
        <v>0</v>
      </c>
      <c r="G86" s="328">
        <f t="shared" si="11"/>
        <v>0</v>
      </c>
      <c r="H86" s="328">
        <f t="shared" si="6"/>
        <v>0</v>
      </c>
      <c r="I86" s="328">
        <f t="shared" si="7"/>
        <v>0</v>
      </c>
      <c r="J86" s="342">
        <f t="shared" si="8"/>
        <v>0</v>
      </c>
      <c r="K86" s="342">
        <f t="shared" si="12"/>
        <v>0</v>
      </c>
    </row>
    <row r="87" spans="2:11" x14ac:dyDescent="0.2">
      <c r="B87" s="13">
        <v>63</v>
      </c>
      <c r="C87" s="12">
        <f t="shared" si="4"/>
        <v>1947</v>
      </c>
      <c r="D87" s="340" t="str">
        <f t="shared" si="9"/>
        <v>n/a</v>
      </c>
      <c r="E87" s="340" t="str">
        <f t="shared" si="10"/>
        <v>n/a</v>
      </c>
      <c r="F87" s="341">
        <f t="shared" si="5"/>
        <v>0</v>
      </c>
      <c r="G87" s="328">
        <f t="shared" si="11"/>
        <v>0</v>
      </c>
      <c r="H87" s="328">
        <f t="shared" si="6"/>
        <v>0</v>
      </c>
      <c r="I87" s="328">
        <f t="shared" si="7"/>
        <v>0</v>
      </c>
      <c r="J87" s="342">
        <f t="shared" si="8"/>
        <v>0</v>
      </c>
      <c r="K87" s="342">
        <f t="shared" si="12"/>
        <v>0</v>
      </c>
    </row>
    <row r="88" spans="2:11" x14ac:dyDescent="0.2">
      <c r="B88" s="13">
        <v>64</v>
      </c>
      <c r="C88" s="12">
        <f t="shared" si="4"/>
        <v>1978</v>
      </c>
      <c r="D88" s="340" t="str">
        <f t="shared" si="9"/>
        <v>n/a</v>
      </c>
      <c r="E88" s="340" t="str">
        <f t="shared" si="10"/>
        <v>n/a</v>
      </c>
      <c r="F88" s="341">
        <f t="shared" si="5"/>
        <v>0</v>
      </c>
      <c r="G88" s="328">
        <f t="shared" si="11"/>
        <v>0</v>
      </c>
      <c r="H88" s="328">
        <f t="shared" si="6"/>
        <v>0</v>
      </c>
      <c r="I88" s="328">
        <f t="shared" si="7"/>
        <v>0</v>
      </c>
      <c r="J88" s="342">
        <f t="shared" si="8"/>
        <v>0</v>
      </c>
      <c r="K88" s="342">
        <f t="shared" si="12"/>
        <v>0</v>
      </c>
    </row>
    <row r="89" spans="2:11" x14ac:dyDescent="0.2">
      <c r="B89" s="13">
        <v>65</v>
      </c>
      <c r="C89" s="12">
        <f t="shared" si="4"/>
        <v>2008</v>
      </c>
      <c r="D89" s="340" t="str">
        <f t="shared" ref="D89:D120" si="13">IF(E89="bullet","interest",IFERROR(INDEX($H$7:$H$18,MATCH(C89,$G$7:$G$18,0)),"n/a"))</f>
        <v>n/a</v>
      </c>
      <c r="E89" s="340" t="str">
        <f t="shared" ref="E89:E120" si="14">IF(C89=$D$11,"bullet",IFERROR(INDEX($K$7:$K$18,MATCH(C89,$J$7:$J$18,0)),"n/a"))</f>
        <v>n/a</v>
      </c>
      <c r="F89" s="341">
        <f t="shared" si="5"/>
        <v>0</v>
      </c>
      <c r="G89" s="328">
        <f t="shared" ref="G89:G120" si="15">IF(D89="n/a",0,MIN(D89,F89+H88))</f>
        <v>0</v>
      </c>
      <c r="H89" s="328">
        <f t="shared" si="6"/>
        <v>0</v>
      </c>
      <c r="I89" s="328">
        <f t="shared" si="7"/>
        <v>0</v>
      </c>
      <c r="J89" s="342">
        <f t="shared" si="8"/>
        <v>0</v>
      </c>
      <c r="K89" s="342">
        <f t="shared" ref="K89:K120" si="16">G89+I89</f>
        <v>0</v>
      </c>
    </row>
    <row r="90" spans="2:11" x14ac:dyDescent="0.2">
      <c r="B90" s="13">
        <v>66</v>
      </c>
      <c r="C90" s="12">
        <f t="shared" ref="C90:C144" si="17">EOMONTH(C89,1)</f>
        <v>2039</v>
      </c>
      <c r="D90" s="340" t="str">
        <f t="shared" si="13"/>
        <v>n/a</v>
      </c>
      <c r="E90" s="340" t="str">
        <f t="shared" si="14"/>
        <v>n/a</v>
      </c>
      <c r="F90" s="341">
        <f t="shared" ref="F90:F144" si="18">J89*$D$12*(C90-C89)/360</f>
        <v>0</v>
      </c>
      <c r="G90" s="328">
        <f t="shared" si="15"/>
        <v>0</v>
      </c>
      <c r="H90" s="328">
        <f t="shared" ref="H90:H144" si="19">H89+F90-G90</f>
        <v>0</v>
      </c>
      <c r="I90" s="328">
        <f t="shared" ref="I90:I144" si="20">IF(E90="n/a",0,IF(E90="bullet",J89,MIN(E90,J89)))</f>
        <v>0</v>
      </c>
      <c r="J90" s="342">
        <f t="shared" ref="J90:J144" si="21">J89-I90</f>
        <v>0</v>
      </c>
      <c r="K90" s="342">
        <f t="shared" si="16"/>
        <v>0</v>
      </c>
    </row>
    <row r="91" spans="2:11" x14ac:dyDescent="0.2">
      <c r="B91" s="13">
        <v>67</v>
      </c>
      <c r="C91" s="12">
        <f t="shared" si="17"/>
        <v>2070</v>
      </c>
      <c r="D91" s="340" t="str">
        <f t="shared" si="13"/>
        <v>n/a</v>
      </c>
      <c r="E91" s="340" t="str">
        <f t="shared" si="14"/>
        <v>n/a</v>
      </c>
      <c r="F91" s="341">
        <f t="shared" si="18"/>
        <v>0</v>
      </c>
      <c r="G91" s="328">
        <f t="shared" si="15"/>
        <v>0</v>
      </c>
      <c r="H91" s="328">
        <f t="shared" si="19"/>
        <v>0</v>
      </c>
      <c r="I91" s="328">
        <f t="shared" si="20"/>
        <v>0</v>
      </c>
      <c r="J91" s="342">
        <f t="shared" si="21"/>
        <v>0</v>
      </c>
      <c r="K91" s="342">
        <f t="shared" si="16"/>
        <v>0</v>
      </c>
    </row>
    <row r="92" spans="2:11" x14ac:dyDescent="0.2">
      <c r="B92" s="13">
        <v>68</v>
      </c>
      <c r="C92" s="12">
        <f t="shared" si="17"/>
        <v>2100</v>
      </c>
      <c r="D92" s="340" t="str">
        <f t="shared" si="13"/>
        <v>n/a</v>
      </c>
      <c r="E92" s="340" t="str">
        <f t="shared" si="14"/>
        <v>n/a</v>
      </c>
      <c r="F92" s="341">
        <f t="shared" si="18"/>
        <v>0</v>
      </c>
      <c r="G92" s="328">
        <f t="shared" si="15"/>
        <v>0</v>
      </c>
      <c r="H92" s="328">
        <f t="shared" si="19"/>
        <v>0</v>
      </c>
      <c r="I92" s="328">
        <f t="shared" si="20"/>
        <v>0</v>
      </c>
      <c r="J92" s="342">
        <f t="shared" si="21"/>
        <v>0</v>
      </c>
      <c r="K92" s="342">
        <f t="shared" si="16"/>
        <v>0</v>
      </c>
    </row>
    <row r="93" spans="2:11" x14ac:dyDescent="0.2">
      <c r="B93" s="13">
        <v>69</v>
      </c>
      <c r="C93" s="12">
        <f t="shared" si="17"/>
        <v>2131</v>
      </c>
      <c r="D93" s="340" t="str">
        <f t="shared" si="13"/>
        <v>n/a</v>
      </c>
      <c r="E93" s="340" t="str">
        <f t="shared" si="14"/>
        <v>n/a</v>
      </c>
      <c r="F93" s="341">
        <f t="shared" si="18"/>
        <v>0</v>
      </c>
      <c r="G93" s="328">
        <f t="shared" si="15"/>
        <v>0</v>
      </c>
      <c r="H93" s="328">
        <f t="shared" si="19"/>
        <v>0</v>
      </c>
      <c r="I93" s="328">
        <f t="shared" si="20"/>
        <v>0</v>
      </c>
      <c r="J93" s="342">
        <f t="shared" si="21"/>
        <v>0</v>
      </c>
      <c r="K93" s="342">
        <f t="shared" si="16"/>
        <v>0</v>
      </c>
    </row>
    <row r="94" spans="2:11" x14ac:dyDescent="0.2">
      <c r="B94" s="13">
        <v>70</v>
      </c>
      <c r="C94" s="12">
        <f t="shared" si="17"/>
        <v>2161</v>
      </c>
      <c r="D94" s="340" t="str">
        <f t="shared" si="13"/>
        <v>n/a</v>
      </c>
      <c r="E94" s="340" t="str">
        <f t="shared" si="14"/>
        <v>n/a</v>
      </c>
      <c r="F94" s="341">
        <f t="shared" si="18"/>
        <v>0</v>
      </c>
      <c r="G94" s="328">
        <f t="shared" si="15"/>
        <v>0</v>
      </c>
      <c r="H94" s="328">
        <f t="shared" si="19"/>
        <v>0</v>
      </c>
      <c r="I94" s="328">
        <f t="shared" si="20"/>
        <v>0</v>
      </c>
      <c r="J94" s="342">
        <f t="shared" si="21"/>
        <v>0</v>
      </c>
      <c r="K94" s="342">
        <f t="shared" si="16"/>
        <v>0</v>
      </c>
    </row>
    <row r="95" spans="2:11" x14ac:dyDescent="0.2">
      <c r="B95" s="13">
        <v>71</v>
      </c>
      <c r="C95" s="12">
        <f t="shared" si="17"/>
        <v>2192</v>
      </c>
      <c r="D95" s="340" t="str">
        <f t="shared" si="13"/>
        <v>n/a</v>
      </c>
      <c r="E95" s="340" t="str">
        <f t="shared" si="14"/>
        <v>n/a</v>
      </c>
      <c r="F95" s="341">
        <f t="shared" si="18"/>
        <v>0</v>
      </c>
      <c r="G95" s="328">
        <f t="shared" si="15"/>
        <v>0</v>
      </c>
      <c r="H95" s="328">
        <f t="shared" si="19"/>
        <v>0</v>
      </c>
      <c r="I95" s="328">
        <f t="shared" si="20"/>
        <v>0</v>
      </c>
      <c r="J95" s="342">
        <f t="shared" si="21"/>
        <v>0</v>
      </c>
      <c r="K95" s="342">
        <f t="shared" si="16"/>
        <v>0</v>
      </c>
    </row>
    <row r="96" spans="2:11" x14ac:dyDescent="0.2">
      <c r="B96" s="13">
        <v>72</v>
      </c>
      <c r="C96" s="12">
        <f t="shared" si="17"/>
        <v>2223</v>
      </c>
      <c r="D96" s="340" t="str">
        <f t="shared" si="13"/>
        <v>n/a</v>
      </c>
      <c r="E96" s="340" t="str">
        <f t="shared" si="14"/>
        <v>n/a</v>
      </c>
      <c r="F96" s="341">
        <f t="shared" si="18"/>
        <v>0</v>
      </c>
      <c r="G96" s="328">
        <f t="shared" si="15"/>
        <v>0</v>
      </c>
      <c r="H96" s="328">
        <f t="shared" si="19"/>
        <v>0</v>
      </c>
      <c r="I96" s="328">
        <f t="shared" si="20"/>
        <v>0</v>
      </c>
      <c r="J96" s="342">
        <f t="shared" si="21"/>
        <v>0</v>
      </c>
      <c r="K96" s="342">
        <f t="shared" si="16"/>
        <v>0</v>
      </c>
    </row>
    <row r="97" spans="2:11" x14ac:dyDescent="0.2">
      <c r="B97" s="13">
        <v>73</v>
      </c>
      <c r="C97" s="12">
        <f t="shared" si="17"/>
        <v>2251</v>
      </c>
      <c r="D97" s="340" t="str">
        <f t="shared" si="13"/>
        <v>n/a</v>
      </c>
      <c r="E97" s="340" t="str">
        <f t="shared" si="14"/>
        <v>n/a</v>
      </c>
      <c r="F97" s="341">
        <f t="shared" si="18"/>
        <v>0</v>
      </c>
      <c r="G97" s="328">
        <f t="shared" si="15"/>
        <v>0</v>
      </c>
      <c r="H97" s="328">
        <f t="shared" si="19"/>
        <v>0</v>
      </c>
      <c r="I97" s="328">
        <f t="shared" si="20"/>
        <v>0</v>
      </c>
      <c r="J97" s="342">
        <f t="shared" si="21"/>
        <v>0</v>
      </c>
      <c r="K97" s="342">
        <f t="shared" si="16"/>
        <v>0</v>
      </c>
    </row>
    <row r="98" spans="2:11" x14ac:dyDescent="0.2">
      <c r="B98" s="13">
        <v>74</v>
      </c>
      <c r="C98" s="12">
        <f t="shared" si="17"/>
        <v>2282</v>
      </c>
      <c r="D98" s="340" t="str">
        <f t="shared" si="13"/>
        <v>n/a</v>
      </c>
      <c r="E98" s="340" t="str">
        <f t="shared" si="14"/>
        <v>n/a</v>
      </c>
      <c r="F98" s="341">
        <f t="shared" si="18"/>
        <v>0</v>
      </c>
      <c r="G98" s="328">
        <f t="shared" si="15"/>
        <v>0</v>
      </c>
      <c r="H98" s="328">
        <f t="shared" si="19"/>
        <v>0</v>
      </c>
      <c r="I98" s="328">
        <f t="shared" si="20"/>
        <v>0</v>
      </c>
      <c r="J98" s="342">
        <f t="shared" si="21"/>
        <v>0</v>
      </c>
      <c r="K98" s="342">
        <f t="shared" si="16"/>
        <v>0</v>
      </c>
    </row>
    <row r="99" spans="2:11" x14ac:dyDescent="0.2">
      <c r="B99" s="13">
        <v>75</v>
      </c>
      <c r="C99" s="12">
        <f t="shared" si="17"/>
        <v>2312</v>
      </c>
      <c r="D99" s="340" t="str">
        <f t="shared" si="13"/>
        <v>n/a</v>
      </c>
      <c r="E99" s="340" t="str">
        <f t="shared" si="14"/>
        <v>n/a</v>
      </c>
      <c r="F99" s="341">
        <f t="shared" si="18"/>
        <v>0</v>
      </c>
      <c r="G99" s="328">
        <f t="shared" si="15"/>
        <v>0</v>
      </c>
      <c r="H99" s="328">
        <f t="shared" si="19"/>
        <v>0</v>
      </c>
      <c r="I99" s="328">
        <f t="shared" si="20"/>
        <v>0</v>
      </c>
      <c r="J99" s="342">
        <f t="shared" si="21"/>
        <v>0</v>
      </c>
      <c r="K99" s="342">
        <f t="shared" si="16"/>
        <v>0</v>
      </c>
    </row>
    <row r="100" spans="2:11" x14ac:dyDescent="0.2">
      <c r="B100" s="13">
        <v>76</v>
      </c>
      <c r="C100" s="12">
        <f t="shared" si="17"/>
        <v>2343</v>
      </c>
      <c r="D100" s="340" t="str">
        <f t="shared" si="13"/>
        <v>n/a</v>
      </c>
      <c r="E100" s="340" t="str">
        <f t="shared" si="14"/>
        <v>n/a</v>
      </c>
      <c r="F100" s="341">
        <f t="shared" si="18"/>
        <v>0</v>
      </c>
      <c r="G100" s="328">
        <f t="shared" si="15"/>
        <v>0</v>
      </c>
      <c r="H100" s="328">
        <f t="shared" si="19"/>
        <v>0</v>
      </c>
      <c r="I100" s="328">
        <f t="shared" si="20"/>
        <v>0</v>
      </c>
      <c r="J100" s="342">
        <f t="shared" si="21"/>
        <v>0</v>
      </c>
      <c r="K100" s="342">
        <f t="shared" si="16"/>
        <v>0</v>
      </c>
    </row>
    <row r="101" spans="2:11" x14ac:dyDescent="0.2">
      <c r="B101" s="13">
        <v>77</v>
      </c>
      <c r="C101" s="12">
        <f t="shared" si="17"/>
        <v>2373</v>
      </c>
      <c r="D101" s="340" t="str">
        <f t="shared" si="13"/>
        <v>n/a</v>
      </c>
      <c r="E101" s="340" t="str">
        <f t="shared" si="14"/>
        <v>n/a</v>
      </c>
      <c r="F101" s="341">
        <f t="shared" si="18"/>
        <v>0</v>
      </c>
      <c r="G101" s="328">
        <f t="shared" si="15"/>
        <v>0</v>
      </c>
      <c r="H101" s="328">
        <f t="shared" si="19"/>
        <v>0</v>
      </c>
      <c r="I101" s="328">
        <f t="shared" si="20"/>
        <v>0</v>
      </c>
      <c r="J101" s="342">
        <f t="shared" si="21"/>
        <v>0</v>
      </c>
      <c r="K101" s="342">
        <f t="shared" si="16"/>
        <v>0</v>
      </c>
    </row>
    <row r="102" spans="2:11" x14ac:dyDescent="0.2">
      <c r="B102" s="13">
        <v>78</v>
      </c>
      <c r="C102" s="12">
        <f t="shared" si="17"/>
        <v>2404</v>
      </c>
      <c r="D102" s="340" t="str">
        <f t="shared" si="13"/>
        <v>n/a</v>
      </c>
      <c r="E102" s="340" t="str">
        <f t="shared" si="14"/>
        <v>n/a</v>
      </c>
      <c r="F102" s="341">
        <f t="shared" si="18"/>
        <v>0</v>
      </c>
      <c r="G102" s="328">
        <f t="shared" si="15"/>
        <v>0</v>
      </c>
      <c r="H102" s="328">
        <f t="shared" si="19"/>
        <v>0</v>
      </c>
      <c r="I102" s="328">
        <f t="shared" si="20"/>
        <v>0</v>
      </c>
      <c r="J102" s="342">
        <f t="shared" si="21"/>
        <v>0</v>
      </c>
      <c r="K102" s="342">
        <f t="shared" si="16"/>
        <v>0</v>
      </c>
    </row>
    <row r="103" spans="2:11" x14ac:dyDescent="0.2">
      <c r="B103" s="13">
        <v>79</v>
      </c>
      <c r="C103" s="12">
        <f t="shared" si="17"/>
        <v>2435</v>
      </c>
      <c r="D103" s="340" t="str">
        <f t="shared" si="13"/>
        <v>n/a</v>
      </c>
      <c r="E103" s="340" t="str">
        <f t="shared" si="14"/>
        <v>n/a</v>
      </c>
      <c r="F103" s="341">
        <f t="shared" si="18"/>
        <v>0</v>
      </c>
      <c r="G103" s="328">
        <f t="shared" si="15"/>
        <v>0</v>
      </c>
      <c r="H103" s="328">
        <f t="shared" si="19"/>
        <v>0</v>
      </c>
      <c r="I103" s="328">
        <f t="shared" si="20"/>
        <v>0</v>
      </c>
      <c r="J103" s="342">
        <f t="shared" si="21"/>
        <v>0</v>
      </c>
      <c r="K103" s="342">
        <f t="shared" si="16"/>
        <v>0</v>
      </c>
    </row>
    <row r="104" spans="2:11" x14ac:dyDescent="0.2">
      <c r="B104" s="13">
        <v>80</v>
      </c>
      <c r="C104" s="12">
        <f t="shared" si="17"/>
        <v>2465</v>
      </c>
      <c r="D104" s="340" t="str">
        <f t="shared" si="13"/>
        <v>n/a</v>
      </c>
      <c r="E104" s="340" t="str">
        <f t="shared" si="14"/>
        <v>n/a</v>
      </c>
      <c r="F104" s="341">
        <f t="shared" si="18"/>
        <v>0</v>
      </c>
      <c r="G104" s="328">
        <f t="shared" si="15"/>
        <v>0</v>
      </c>
      <c r="H104" s="328">
        <f t="shared" si="19"/>
        <v>0</v>
      </c>
      <c r="I104" s="328">
        <f t="shared" si="20"/>
        <v>0</v>
      </c>
      <c r="J104" s="342">
        <f t="shared" si="21"/>
        <v>0</v>
      </c>
      <c r="K104" s="342">
        <f t="shared" si="16"/>
        <v>0</v>
      </c>
    </row>
    <row r="105" spans="2:11" x14ac:dyDescent="0.2">
      <c r="B105" s="13">
        <v>81</v>
      </c>
      <c r="C105" s="12">
        <f t="shared" si="17"/>
        <v>2496</v>
      </c>
      <c r="D105" s="340" t="str">
        <f t="shared" si="13"/>
        <v>n/a</v>
      </c>
      <c r="E105" s="340" t="str">
        <f t="shared" si="14"/>
        <v>n/a</v>
      </c>
      <c r="F105" s="341">
        <f t="shared" si="18"/>
        <v>0</v>
      </c>
      <c r="G105" s="328">
        <f t="shared" si="15"/>
        <v>0</v>
      </c>
      <c r="H105" s="328">
        <f t="shared" si="19"/>
        <v>0</v>
      </c>
      <c r="I105" s="328">
        <f t="shared" si="20"/>
        <v>0</v>
      </c>
      <c r="J105" s="342">
        <f t="shared" si="21"/>
        <v>0</v>
      </c>
      <c r="K105" s="342">
        <f t="shared" si="16"/>
        <v>0</v>
      </c>
    </row>
    <row r="106" spans="2:11" x14ac:dyDescent="0.2">
      <c r="B106" s="13">
        <v>82</v>
      </c>
      <c r="C106" s="12">
        <f t="shared" si="17"/>
        <v>2526</v>
      </c>
      <c r="D106" s="340" t="str">
        <f t="shared" si="13"/>
        <v>n/a</v>
      </c>
      <c r="E106" s="340" t="str">
        <f t="shared" si="14"/>
        <v>n/a</v>
      </c>
      <c r="F106" s="341">
        <f t="shared" si="18"/>
        <v>0</v>
      </c>
      <c r="G106" s="328">
        <f t="shared" si="15"/>
        <v>0</v>
      </c>
      <c r="H106" s="328">
        <f t="shared" si="19"/>
        <v>0</v>
      </c>
      <c r="I106" s="328">
        <f t="shared" si="20"/>
        <v>0</v>
      </c>
      <c r="J106" s="342">
        <f t="shared" si="21"/>
        <v>0</v>
      </c>
      <c r="K106" s="342">
        <f t="shared" si="16"/>
        <v>0</v>
      </c>
    </row>
    <row r="107" spans="2:11" x14ac:dyDescent="0.2">
      <c r="B107" s="13">
        <v>83</v>
      </c>
      <c r="C107" s="12">
        <f t="shared" si="17"/>
        <v>2557</v>
      </c>
      <c r="D107" s="340" t="str">
        <f t="shared" si="13"/>
        <v>n/a</v>
      </c>
      <c r="E107" s="340" t="str">
        <f t="shared" si="14"/>
        <v>n/a</v>
      </c>
      <c r="F107" s="341">
        <f t="shared" si="18"/>
        <v>0</v>
      </c>
      <c r="G107" s="328">
        <f t="shared" si="15"/>
        <v>0</v>
      </c>
      <c r="H107" s="328">
        <f t="shared" si="19"/>
        <v>0</v>
      </c>
      <c r="I107" s="328">
        <f t="shared" si="20"/>
        <v>0</v>
      </c>
      <c r="J107" s="342">
        <f t="shared" si="21"/>
        <v>0</v>
      </c>
      <c r="K107" s="342">
        <f t="shared" si="16"/>
        <v>0</v>
      </c>
    </row>
    <row r="108" spans="2:11" x14ac:dyDescent="0.2">
      <c r="B108" s="13">
        <v>84</v>
      </c>
      <c r="C108" s="12">
        <f t="shared" si="17"/>
        <v>2588</v>
      </c>
      <c r="D108" s="340" t="str">
        <f t="shared" si="13"/>
        <v>n/a</v>
      </c>
      <c r="E108" s="340" t="str">
        <f t="shared" si="14"/>
        <v>n/a</v>
      </c>
      <c r="F108" s="341">
        <f t="shared" si="18"/>
        <v>0</v>
      </c>
      <c r="G108" s="328">
        <f t="shared" si="15"/>
        <v>0</v>
      </c>
      <c r="H108" s="328">
        <f t="shared" si="19"/>
        <v>0</v>
      </c>
      <c r="I108" s="328">
        <f t="shared" si="20"/>
        <v>0</v>
      </c>
      <c r="J108" s="342">
        <f t="shared" si="21"/>
        <v>0</v>
      </c>
      <c r="K108" s="342">
        <f t="shared" si="16"/>
        <v>0</v>
      </c>
    </row>
    <row r="109" spans="2:11" x14ac:dyDescent="0.2">
      <c r="B109" s="13">
        <v>85</v>
      </c>
      <c r="C109" s="12">
        <f t="shared" si="17"/>
        <v>2616</v>
      </c>
      <c r="D109" s="340" t="str">
        <f t="shared" si="13"/>
        <v>n/a</v>
      </c>
      <c r="E109" s="340" t="str">
        <f t="shared" si="14"/>
        <v>n/a</v>
      </c>
      <c r="F109" s="341">
        <f t="shared" si="18"/>
        <v>0</v>
      </c>
      <c r="G109" s="328">
        <f t="shared" si="15"/>
        <v>0</v>
      </c>
      <c r="H109" s="328">
        <f t="shared" si="19"/>
        <v>0</v>
      </c>
      <c r="I109" s="328">
        <f t="shared" si="20"/>
        <v>0</v>
      </c>
      <c r="J109" s="342">
        <f t="shared" si="21"/>
        <v>0</v>
      </c>
      <c r="K109" s="342">
        <f t="shared" si="16"/>
        <v>0</v>
      </c>
    </row>
    <row r="110" spans="2:11" x14ac:dyDescent="0.2">
      <c r="B110" s="13">
        <v>86</v>
      </c>
      <c r="C110" s="12">
        <f t="shared" si="17"/>
        <v>2647</v>
      </c>
      <c r="D110" s="340" t="str">
        <f t="shared" si="13"/>
        <v>n/a</v>
      </c>
      <c r="E110" s="340" t="str">
        <f t="shared" si="14"/>
        <v>n/a</v>
      </c>
      <c r="F110" s="341">
        <f t="shared" si="18"/>
        <v>0</v>
      </c>
      <c r="G110" s="328">
        <f t="shared" si="15"/>
        <v>0</v>
      </c>
      <c r="H110" s="328">
        <f t="shared" si="19"/>
        <v>0</v>
      </c>
      <c r="I110" s="328">
        <f t="shared" si="20"/>
        <v>0</v>
      </c>
      <c r="J110" s="342">
        <f t="shared" si="21"/>
        <v>0</v>
      </c>
      <c r="K110" s="342">
        <f t="shared" si="16"/>
        <v>0</v>
      </c>
    </row>
    <row r="111" spans="2:11" x14ac:dyDescent="0.2">
      <c r="B111" s="13">
        <v>87</v>
      </c>
      <c r="C111" s="12">
        <f t="shared" si="17"/>
        <v>2677</v>
      </c>
      <c r="D111" s="340" t="str">
        <f t="shared" si="13"/>
        <v>n/a</v>
      </c>
      <c r="E111" s="340" t="str">
        <f t="shared" si="14"/>
        <v>n/a</v>
      </c>
      <c r="F111" s="341">
        <f t="shared" si="18"/>
        <v>0</v>
      </c>
      <c r="G111" s="328">
        <f t="shared" si="15"/>
        <v>0</v>
      </c>
      <c r="H111" s="328">
        <f t="shared" si="19"/>
        <v>0</v>
      </c>
      <c r="I111" s="328">
        <f t="shared" si="20"/>
        <v>0</v>
      </c>
      <c r="J111" s="342">
        <f t="shared" si="21"/>
        <v>0</v>
      </c>
      <c r="K111" s="342">
        <f t="shared" si="16"/>
        <v>0</v>
      </c>
    </row>
    <row r="112" spans="2:11" x14ac:dyDescent="0.2">
      <c r="B112" s="13">
        <v>88</v>
      </c>
      <c r="C112" s="12">
        <f t="shared" si="17"/>
        <v>2708</v>
      </c>
      <c r="D112" s="340" t="str">
        <f t="shared" si="13"/>
        <v>n/a</v>
      </c>
      <c r="E112" s="340" t="str">
        <f t="shared" si="14"/>
        <v>n/a</v>
      </c>
      <c r="F112" s="341">
        <f t="shared" si="18"/>
        <v>0</v>
      </c>
      <c r="G112" s="328">
        <f t="shared" si="15"/>
        <v>0</v>
      </c>
      <c r="H112" s="328">
        <f t="shared" si="19"/>
        <v>0</v>
      </c>
      <c r="I112" s="328">
        <f t="shared" si="20"/>
        <v>0</v>
      </c>
      <c r="J112" s="342">
        <f t="shared" si="21"/>
        <v>0</v>
      </c>
      <c r="K112" s="342">
        <f t="shared" si="16"/>
        <v>0</v>
      </c>
    </row>
    <row r="113" spans="2:11" x14ac:dyDescent="0.2">
      <c r="B113" s="13">
        <v>89</v>
      </c>
      <c r="C113" s="12">
        <f t="shared" si="17"/>
        <v>2738</v>
      </c>
      <c r="D113" s="340" t="str">
        <f t="shared" si="13"/>
        <v>n/a</v>
      </c>
      <c r="E113" s="340" t="str">
        <f t="shared" si="14"/>
        <v>n/a</v>
      </c>
      <c r="F113" s="341">
        <f t="shared" si="18"/>
        <v>0</v>
      </c>
      <c r="G113" s="328">
        <f t="shared" si="15"/>
        <v>0</v>
      </c>
      <c r="H113" s="328">
        <f t="shared" si="19"/>
        <v>0</v>
      </c>
      <c r="I113" s="328">
        <f t="shared" si="20"/>
        <v>0</v>
      </c>
      <c r="J113" s="342">
        <f t="shared" si="21"/>
        <v>0</v>
      </c>
      <c r="K113" s="342">
        <f t="shared" si="16"/>
        <v>0</v>
      </c>
    </row>
    <row r="114" spans="2:11" x14ac:dyDescent="0.2">
      <c r="B114" s="13">
        <v>90</v>
      </c>
      <c r="C114" s="12">
        <f t="shared" si="17"/>
        <v>2769</v>
      </c>
      <c r="D114" s="340" t="str">
        <f t="shared" si="13"/>
        <v>n/a</v>
      </c>
      <c r="E114" s="340" t="str">
        <f t="shared" si="14"/>
        <v>n/a</v>
      </c>
      <c r="F114" s="341">
        <f t="shared" si="18"/>
        <v>0</v>
      </c>
      <c r="G114" s="328">
        <f t="shared" si="15"/>
        <v>0</v>
      </c>
      <c r="H114" s="328">
        <f t="shared" si="19"/>
        <v>0</v>
      </c>
      <c r="I114" s="328">
        <f t="shared" si="20"/>
        <v>0</v>
      </c>
      <c r="J114" s="342">
        <f t="shared" si="21"/>
        <v>0</v>
      </c>
      <c r="K114" s="342">
        <f t="shared" si="16"/>
        <v>0</v>
      </c>
    </row>
    <row r="115" spans="2:11" x14ac:dyDescent="0.2">
      <c r="B115" s="13">
        <v>91</v>
      </c>
      <c r="C115" s="12">
        <f t="shared" si="17"/>
        <v>2800</v>
      </c>
      <c r="D115" s="340" t="str">
        <f t="shared" si="13"/>
        <v>n/a</v>
      </c>
      <c r="E115" s="340" t="str">
        <f t="shared" si="14"/>
        <v>n/a</v>
      </c>
      <c r="F115" s="341">
        <f t="shared" si="18"/>
        <v>0</v>
      </c>
      <c r="G115" s="328">
        <f t="shared" si="15"/>
        <v>0</v>
      </c>
      <c r="H115" s="328">
        <f t="shared" si="19"/>
        <v>0</v>
      </c>
      <c r="I115" s="328">
        <f t="shared" si="20"/>
        <v>0</v>
      </c>
      <c r="J115" s="342">
        <f t="shared" si="21"/>
        <v>0</v>
      </c>
      <c r="K115" s="342">
        <f t="shared" si="16"/>
        <v>0</v>
      </c>
    </row>
    <row r="116" spans="2:11" x14ac:dyDescent="0.2">
      <c r="B116" s="13">
        <v>92</v>
      </c>
      <c r="C116" s="12">
        <f t="shared" si="17"/>
        <v>2830</v>
      </c>
      <c r="D116" s="340" t="str">
        <f t="shared" si="13"/>
        <v>n/a</v>
      </c>
      <c r="E116" s="340" t="str">
        <f t="shared" si="14"/>
        <v>n/a</v>
      </c>
      <c r="F116" s="341">
        <f t="shared" si="18"/>
        <v>0</v>
      </c>
      <c r="G116" s="328">
        <f t="shared" si="15"/>
        <v>0</v>
      </c>
      <c r="H116" s="328">
        <f t="shared" si="19"/>
        <v>0</v>
      </c>
      <c r="I116" s="328">
        <f t="shared" si="20"/>
        <v>0</v>
      </c>
      <c r="J116" s="342">
        <f t="shared" si="21"/>
        <v>0</v>
      </c>
      <c r="K116" s="342">
        <f t="shared" si="16"/>
        <v>0</v>
      </c>
    </row>
    <row r="117" spans="2:11" x14ac:dyDescent="0.2">
      <c r="B117" s="13">
        <v>93</v>
      </c>
      <c r="C117" s="12">
        <f t="shared" si="17"/>
        <v>2861</v>
      </c>
      <c r="D117" s="340" t="str">
        <f t="shared" si="13"/>
        <v>n/a</v>
      </c>
      <c r="E117" s="340" t="str">
        <f t="shared" si="14"/>
        <v>n/a</v>
      </c>
      <c r="F117" s="341">
        <f t="shared" si="18"/>
        <v>0</v>
      </c>
      <c r="G117" s="328">
        <f t="shared" si="15"/>
        <v>0</v>
      </c>
      <c r="H117" s="328">
        <f t="shared" si="19"/>
        <v>0</v>
      </c>
      <c r="I117" s="328">
        <f t="shared" si="20"/>
        <v>0</v>
      </c>
      <c r="J117" s="342">
        <f t="shared" si="21"/>
        <v>0</v>
      </c>
      <c r="K117" s="342">
        <f t="shared" si="16"/>
        <v>0</v>
      </c>
    </row>
    <row r="118" spans="2:11" x14ac:dyDescent="0.2">
      <c r="B118" s="13">
        <v>94</v>
      </c>
      <c r="C118" s="12">
        <f t="shared" si="17"/>
        <v>2891</v>
      </c>
      <c r="D118" s="340" t="str">
        <f t="shared" si="13"/>
        <v>n/a</v>
      </c>
      <c r="E118" s="340" t="str">
        <f t="shared" si="14"/>
        <v>n/a</v>
      </c>
      <c r="F118" s="341">
        <f t="shared" si="18"/>
        <v>0</v>
      </c>
      <c r="G118" s="328">
        <f t="shared" si="15"/>
        <v>0</v>
      </c>
      <c r="H118" s="328">
        <f t="shared" si="19"/>
        <v>0</v>
      </c>
      <c r="I118" s="328">
        <f t="shared" si="20"/>
        <v>0</v>
      </c>
      <c r="J118" s="342">
        <f t="shared" si="21"/>
        <v>0</v>
      </c>
      <c r="K118" s="342">
        <f t="shared" si="16"/>
        <v>0</v>
      </c>
    </row>
    <row r="119" spans="2:11" x14ac:dyDescent="0.2">
      <c r="B119" s="13">
        <v>95</v>
      </c>
      <c r="C119" s="12">
        <f t="shared" si="17"/>
        <v>2922</v>
      </c>
      <c r="D119" s="340" t="str">
        <f t="shared" si="13"/>
        <v>n/a</v>
      </c>
      <c r="E119" s="340" t="str">
        <f t="shared" si="14"/>
        <v>n/a</v>
      </c>
      <c r="F119" s="341">
        <f t="shared" si="18"/>
        <v>0</v>
      </c>
      <c r="G119" s="328">
        <f t="shared" si="15"/>
        <v>0</v>
      </c>
      <c r="H119" s="328">
        <f t="shared" si="19"/>
        <v>0</v>
      </c>
      <c r="I119" s="328">
        <f t="shared" si="20"/>
        <v>0</v>
      </c>
      <c r="J119" s="342">
        <f t="shared" si="21"/>
        <v>0</v>
      </c>
      <c r="K119" s="342">
        <f t="shared" si="16"/>
        <v>0</v>
      </c>
    </row>
    <row r="120" spans="2:11" x14ac:dyDescent="0.2">
      <c r="B120" s="13">
        <v>96</v>
      </c>
      <c r="C120" s="12">
        <f t="shared" si="17"/>
        <v>2953</v>
      </c>
      <c r="D120" s="340" t="str">
        <f t="shared" si="13"/>
        <v>n/a</v>
      </c>
      <c r="E120" s="340" t="str">
        <f t="shared" si="14"/>
        <v>n/a</v>
      </c>
      <c r="F120" s="341">
        <f t="shared" si="18"/>
        <v>0</v>
      </c>
      <c r="G120" s="328">
        <f t="shared" si="15"/>
        <v>0</v>
      </c>
      <c r="H120" s="328">
        <f t="shared" si="19"/>
        <v>0</v>
      </c>
      <c r="I120" s="328">
        <f t="shared" si="20"/>
        <v>0</v>
      </c>
      <c r="J120" s="342">
        <f t="shared" si="21"/>
        <v>0</v>
      </c>
      <c r="K120" s="342">
        <f t="shared" si="16"/>
        <v>0</v>
      </c>
    </row>
    <row r="121" spans="2:11" x14ac:dyDescent="0.2">
      <c r="B121" s="13">
        <v>97</v>
      </c>
      <c r="C121" s="12">
        <f t="shared" si="17"/>
        <v>2982</v>
      </c>
      <c r="D121" s="340" t="str">
        <f t="shared" ref="D121:D144" si="22">IF(E121="bullet","interest",IFERROR(INDEX($H$7:$H$18,MATCH(C121,$G$7:$G$18,0)),"n/a"))</f>
        <v>n/a</v>
      </c>
      <c r="E121" s="340" t="str">
        <f t="shared" ref="E121:E144" si="23">IF(C121=$D$11,"bullet",IFERROR(INDEX($K$7:$K$18,MATCH(C121,$J$7:$J$18,0)),"n/a"))</f>
        <v>n/a</v>
      </c>
      <c r="F121" s="341">
        <f t="shared" si="18"/>
        <v>0</v>
      </c>
      <c r="G121" s="328">
        <f t="shared" ref="G121:G144" si="24">IF(D121="n/a",0,MIN(D121,F121+H120))</f>
        <v>0</v>
      </c>
      <c r="H121" s="328">
        <f t="shared" si="19"/>
        <v>0</v>
      </c>
      <c r="I121" s="328">
        <f t="shared" si="20"/>
        <v>0</v>
      </c>
      <c r="J121" s="342">
        <f t="shared" si="21"/>
        <v>0</v>
      </c>
      <c r="K121" s="342">
        <f t="shared" ref="K121:K144" si="25">G121+I121</f>
        <v>0</v>
      </c>
    </row>
    <row r="122" spans="2:11" x14ac:dyDescent="0.2">
      <c r="B122" s="13">
        <v>98</v>
      </c>
      <c r="C122" s="12">
        <f t="shared" si="17"/>
        <v>3013</v>
      </c>
      <c r="D122" s="340" t="str">
        <f t="shared" si="22"/>
        <v>n/a</v>
      </c>
      <c r="E122" s="340" t="str">
        <f t="shared" si="23"/>
        <v>n/a</v>
      </c>
      <c r="F122" s="341">
        <f t="shared" si="18"/>
        <v>0</v>
      </c>
      <c r="G122" s="328">
        <f t="shared" si="24"/>
        <v>0</v>
      </c>
      <c r="H122" s="328">
        <f t="shared" si="19"/>
        <v>0</v>
      </c>
      <c r="I122" s="328">
        <f t="shared" si="20"/>
        <v>0</v>
      </c>
      <c r="J122" s="342">
        <f t="shared" si="21"/>
        <v>0</v>
      </c>
      <c r="K122" s="342">
        <f t="shared" si="25"/>
        <v>0</v>
      </c>
    </row>
    <row r="123" spans="2:11" x14ac:dyDescent="0.2">
      <c r="B123" s="13">
        <v>99</v>
      </c>
      <c r="C123" s="12">
        <f t="shared" si="17"/>
        <v>3043</v>
      </c>
      <c r="D123" s="340" t="str">
        <f t="shared" si="22"/>
        <v>n/a</v>
      </c>
      <c r="E123" s="340" t="str">
        <f t="shared" si="23"/>
        <v>n/a</v>
      </c>
      <c r="F123" s="341">
        <f t="shared" si="18"/>
        <v>0</v>
      </c>
      <c r="G123" s="328">
        <f t="shared" si="24"/>
        <v>0</v>
      </c>
      <c r="H123" s="328">
        <f t="shared" si="19"/>
        <v>0</v>
      </c>
      <c r="I123" s="328">
        <f t="shared" si="20"/>
        <v>0</v>
      </c>
      <c r="J123" s="342">
        <f t="shared" si="21"/>
        <v>0</v>
      </c>
      <c r="K123" s="342">
        <f t="shared" si="25"/>
        <v>0</v>
      </c>
    </row>
    <row r="124" spans="2:11" x14ac:dyDescent="0.2">
      <c r="B124" s="13">
        <v>100</v>
      </c>
      <c r="C124" s="12">
        <f t="shared" si="17"/>
        <v>3074</v>
      </c>
      <c r="D124" s="340" t="str">
        <f t="shared" si="22"/>
        <v>n/a</v>
      </c>
      <c r="E124" s="340" t="str">
        <f t="shared" si="23"/>
        <v>n/a</v>
      </c>
      <c r="F124" s="341">
        <f t="shared" si="18"/>
        <v>0</v>
      </c>
      <c r="G124" s="328">
        <f t="shared" si="24"/>
        <v>0</v>
      </c>
      <c r="H124" s="328">
        <f t="shared" si="19"/>
        <v>0</v>
      </c>
      <c r="I124" s="328">
        <f t="shared" si="20"/>
        <v>0</v>
      </c>
      <c r="J124" s="342">
        <f t="shared" si="21"/>
        <v>0</v>
      </c>
      <c r="K124" s="342">
        <f t="shared" si="25"/>
        <v>0</v>
      </c>
    </row>
    <row r="125" spans="2:11" x14ac:dyDescent="0.2">
      <c r="B125" s="13">
        <v>101</v>
      </c>
      <c r="C125" s="12">
        <f t="shared" si="17"/>
        <v>3104</v>
      </c>
      <c r="D125" s="340" t="str">
        <f t="shared" si="22"/>
        <v>n/a</v>
      </c>
      <c r="E125" s="340" t="str">
        <f t="shared" si="23"/>
        <v>n/a</v>
      </c>
      <c r="F125" s="341">
        <f t="shared" si="18"/>
        <v>0</v>
      </c>
      <c r="G125" s="328">
        <f t="shared" si="24"/>
        <v>0</v>
      </c>
      <c r="H125" s="328">
        <f t="shared" si="19"/>
        <v>0</v>
      </c>
      <c r="I125" s="328">
        <f t="shared" si="20"/>
        <v>0</v>
      </c>
      <c r="J125" s="342">
        <f t="shared" si="21"/>
        <v>0</v>
      </c>
      <c r="K125" s="342">
        <f t="shared" si="25"/>
        <v>0</v>
      </c>
    </row>
    <row r="126" spans="2:11" x14ac:dyDescent="0.2">
      <c r="B126" s="13">
        <v>102</v>
      </c>
      <c r="C126" s="12">
        <f t="shared" si="17"/>
        <v>3135</v>
      </c>
      <c r="D126" s="340" t="str">
        <f t="shared" si="22"/>
        <v>n/a</v>
      </c>
      <c r="E126" s="340" t="str">
        <f t="shared" si="23"/>
        <v>n/a</v>
      </c>
      <c r="F126" s="341">
        <f t="shared" si="18"/>
        <v>0</v>
      </c>
      <c r="G126" s="328">
        <f t="shared" si="24"/>
        <v>0</v>
      </c>
      <c r="H126" s="328">
        <f t="shared" si="19"/>
        <v>0</v>
      </c>
      <c r="I126" s="328">
        <f t="shared" si="20"/>
        <v>0</v>
      </c>
      <c r="J126" s="342">
        <f t="shared" si="21"/>
        <v>0</v>
      </c>
      <c r="K126" s="342">
        <f t="shared" si="25"/>
        <v>0</v>
      </c>
    </row>
    <row r="127" spans="2:11" x14ac:dyDescent="0.2">
      <c r="B127" s="13">
        <v>103</v>
      </c>
      <c r="C127" s="12">
        <f t="shared" si="17"/>
        <v>3166</v>
      </c>
      <c r="D127" s="340" t="str">
        <f t="shared" si="22"/>
        <v>n/a</v>
      </c>
      <c r="E127" s="340" t="str">
        <f t="shared" si="23"/>
        <v>n/a</v>
      </c>
      <c r="F127" s="341">
        <f t="shared" si="18"/>
        <v>0</v>
      </c>
      <c r="G127" s="328">
        <f t="shared" si="24"/>
        <v>0</v>
      </c>
      <c r="H127" s="328">
        <f t="shared" si="19"/>
        <v>0</v>
      </c>
      <c r="I127" s="328">
        <f t="shared" si="20"/>
        <v>0</v>
      </c>
      <c r="J127" s="342">
        <f t="shared" si="21"/>
        <v>0</v>
      </c>
      <c r="K127" s="342">
        <f t="shared" si="25"/>
        <v>0</v>
      </c>
    </row>
    <row r="128" spans="2:11" x14ac:dyDescent="0.2">
      <c r="B128" s="13">
        <v>104</v>
      </c>
      <c r="C128" s="12">
        <f t="shared" si="17"/>
        <v>3196</v>
      </c>
      <c r="D128" s="340" t="str">
        <f t="shared" si="22"/>
        <v>n/a</v>
      </c>
      <c r="E128" s="340" t="str">
        <f t="shared" si="23"/>
        <v>n/a</v>
      </c>
      <c r="F128" s="341">
        <f t="shared" si="18"/>
        <v>0</v>
      </c>
      <c r="G128" s="328">
        <f t="shared" si="24"/>
        <v>0</v>
      </c>
      <c r="H128" s="328">
        <f t="shared" si="19"/>
        <v>0</v>
      </c>
      <c r="I128" s="328">
        <f t="shared" si="20"/>
        <v>0</v>
      </c>
      <c r="J128" s="342">
        <f t="shared" si="21"/>
        <v>0</v>
      </c>
      <c r="K128" s="342">
        <f t="shared" si="25"/>
        <v>0</v>
      </c>
    </row>
    <row r="129" spans="2:11" x14ac:dyDescent="0.2">
      <c r="B129" s="13">
        <v>105</v>
      </c>
      <c r="C129" s="12">
        <f t="shared" si="17"/>
        <v>3227</v>
      </c>
      <c r="D129" s="340" t="str">
        <f t="shared" si="22"/>
        <v>n/a</v>
      </c>
      <c r="E129" s="340" t="str">
        <f t="shared" si="23"/>
        <v>n/a</v>
      </c>
      <c r="F129" s="341">
        <f t="shared" si="18"/>
        <v>0</v>
      </c>
      <c r="G129" s="328">
        <f t="shared" si="24"/>
        <v>0</v>
      </c>
      <c r="H129" s="328">
        <f t="shared" si="19"/>
        <v>0</v>
      </c>
      <c r="I129" s="328">
        <f t="shared" si="20"/>
        <v>0</v>
      </c>
      <c r="J129" s="342">
        <f t="shared" si="21"/>
        <v>0</v>
      </c>
      <c r="K129" s="342">
        <f t="shared" si="25"/>
        <v>0</v>
      </c>
    </row>
    <row r="130" spans="2:11" x14ac:dyDescent="0.2">
      <c r="B130" s="13">
        <v>106</v>
      </c>
      <c r="C130" s="12">
        <f t="shared" si="17"/>
        <v>3257</v>
      </c>
      <c r="D130" s="340" t="str">
        <f t="shared" si="22"/>
        <v>n/a</v>
      </c>
      <c r="E130" s="340" t="str">
        <f t="shared" si="23"/>
        <v>n/a</v>
      </c>
      <c r="F130" s="341">
        <f t="shared" si="18"/>
        <v>0</v>
      </c>
      <c r="G130" s="328">
        <f t="shared" si="24"/>
        <v>0</v>
      </c>
      <c r="H130" s="328">
        <f t="shared" si="19"/>
        <v>0</v>
      </c>
      <c r="I130" s="328">
        <f t="shared" si="20"/>
        <v>0</v>
      </c>
      <c r="J130" s="342">
        <f t="shared" si="21"/>
        <v>0</v>
      </c>
      <c r="K130" s="342">
        <f t="shared" si="25"/>
        <v>0</v>
      </c>
    </row>
    <row r="131" spans="2:11" x14ac:dyDescent="0.2">
      <c r="B131" s="13">
        <v>107</v>
      </c>
      <c r="C131" s="12">
        <f t="shared" si="17"/>
        <v>3288</v>
      </c>
      <c r="D131" s="340" t="str">
        <f t="shared" si="22"/>
        <v>n/a</v>
      </c>
      <c r="E131" s="340" t="str">
        <f t="shared" si="23"/>
        <v>n/a</v>
      </c>
      <c r="F131" s="341">
        <f t="shared" si="18"/>
        <v>0</v>
      </c>
      <c r="G131" s="328">
        <f t="shared" si="24"/>
        <v>0</v>
      </c>
      <c r="H131" s="328">
        <f t="shared" si="19"/>
        <v>0</v>
      </c>
      <c r="I131" s="328">
        <f t="shared" si="20"/>
        <v>0</v>
      </c>
      <c r="J131" s="342">
        <f t="shared" si="21"/>
        <v>0</v>
      </c>
      <c r="K131" s="342">
        <f t="shared" si="25"/>
        <v>0</v>
      </c>
    </row>
    <row r="132" spans="2:11" x14ac:dyDescent="0.2">
      <c r="B132" s="13">
        <v>108</v>
      </c>
      <c r="C132" s="12">
        <f t="shared" si="17"/>
        <v>3319</v>
      </c>
      <c r="D132" s="340" t="str">
        <f t="shared" si="22"/>
        <v>n/a</v>
      </c>
      <c r="E132" s="340" t="str">
        <f t="shared" si="23"/>
        <v>n/a</v>
      </c>
      <c r="F132" s="341">
        <f t="shared" si="18"/>
        <v>0</v>
      </c>
      <c r="G132" s="328">
        <f t="shared" si="24"/>
        <v>0</v>
      </c>
      <c r="H132" s="328">
        <f t="shared" si="19"/>
        <v>0</v>
      </c>
      <c r="I132" s="328">
        <f t="shared" si="20"/>
        <v>0</v>
      </c>
      <c r="J132" s="342">
        <f t="shared" si="21"/>
        <v>0</v>
      </c>
      <c r="K132" s="342">
        <f t="shared" si="25"/>
        <v>0</v>
      </c>
    </row>
    <row r="133" spans="2:11" x14ac:dyDescent="0.2">
      <c r="B133" s="13">
        <v>109</v>
      </c>
      <c r="C133" s="12">
        <f t="shared" si="17"/>
        <v>3347</v>
      </c>
      <c r="D133" s="340" t="str">
        <f t="shared" si="22"/>
        <v>n/a</v>
      </c>
      <c r="E133" s="340" t="str">
        <f t="shared" si="23"/>
        <v>n/a</v>
      </c>
      <c r="F133" s="341">
        <f t="shared" si="18"/>
        <v>0</v>
      </c>
      <c r="G133" s="328">
        <f t="shared" si="24"/>
        <v>0</v>
      </c>
      <c r="H133" s="328">
        <f t="shared" si="19"/>
        <v>0</v>
      </c>
      <c r="I133" s="328">
        <f t="shared" si="20"/>
        <v>0</v>
      </c>
      <c r="J133" s="342">
        <f t="shared" si="21"/>
        <v>0</v>
      </c>
      <c r="K133" s="342">
        <f t="shared" si="25"/>
        <v>0</v>
      </c>
    </row>
    <row r="134" spans="2:11" x14ac:dyDescent="0.2">
      <c r="B134" s="13">
        <v>110</v>
      </c>
      <c r="C134" s="12">
        <f t="shared" si="17"/>
        <v>3378</v>
      </c>
      <c r="D134" s="340" t="str">
        <f t="shared" si="22"/>
        <v>n/a</v>
      </c>
      <c r="E134" s="340" t="str">
        <f t="shared" si="23"/>
        <v>n/a</v>
      </c>
      <c r="F134" s="341">
        <f t="shared" si="18"/>
        <v>0</v>
      </c>
      <c r="G134" s="328">
        <f t="shared" si="24"/>
        <v>0</v>
      </c>
      <c r="H134" s="328">
        <f t="shared" si="19"/>
        <v>0</v>
      </c>
      <c r="I134" s="328">
        <f t="shared" si="20"/>
        <v>0</v>
      </c>
      <c r="J134" s="342">
        <f t="shared" si="21"/>
        <v>0</v>
      </c>
      <c r="K134" s="342">
        <f t="shared" si="25"/>
        <v>0</v>
      </c>
    </row>
    <row r="135" spans="2:11" x14ac:dyDescent="0.2">
      <c r="B135" s="13">
        <v>111</v>
      </c>
      <c r="C135" s="12">
        <f t="shared" si="17"/>
        <v>3408</v>
      </c>
      <c r="D135" s="340" t="str">
        <f t="shared" si="22"/>
        <v>n/a</v>
      </c>
      <c r="E135" s="340" t="str">
        <f t="shared" si="23"/>
        <v>n/a</v>
      </c>
      <c r="F135" s="341">
        <f t="shared" si="18"/>
        <v>0</v>
      </c>
      <c r="G135" s="328">
        <f t="shared" si="24"/>
        <v>0</v>
      </c>
      <c r="H135" s="328">
        <f t="shared" si="19"/>
        <v>0</v>
      </c>
      <c r="I135" s="328">
        <f t="shared" si="20"/>
        <v>0</v>
      </c>
      <c r="J135" s="342">
        <f t="shared" si="21"/>
        <v>0</v>
      </c>
      <c r="K135" s="342">
        <f t="shared" si="25"/>
        <v>0</v>
      </c>
    </row>
    <row r="136" spans="2:11" x14ac:dyDescent="0.2">
      <c r="B136" s="13">
        <v>112</v>
      </c>
      <c r="C136" s="12">
        <f t="shared" si="17"/>
        <v>3439</v>
      </c>
      <c r="D136" s="340" t="str">
        <f t="shared" si="22"/>
        <v>n/a</v>
      </c>
      <c r="E136" s="340" t="str">
        <f t="shared" si="23"/>
        <v>n/a</v>
      </c>
      <c r="F136" s="341">
        <f t="shared" si="18"/>
        <v>0</v>
      </c>
      <c r="G136" s="328">
        <f t="shared" si="24"/>
        <v>0</v>
      </c>
      <c r="H136" s="328">
        <f t="shared" si="19"/>
        <v>0</v>
      </c>
      <c r="I136" s="328">
        <f t="shared" si="20"/>
        <v>0</v>
      </c>
      <c r="J136" s="342">
        <f t="shared" si="21"/>
        <v>0</v>
      </c>
      <c r="K136" s="342">
        <f t="shared" si="25"/>
        <v>0</v>
      </c>
    </row>
    <row r="137" spans="2:11" x14ac:dyDescent="0.2">
      <c r="B137" s="13">
        <v>113</v>
      </c>
      <c r="C137" s="12">
        <f t="shared" si="17"/>
        <v>3469</v>
      </c>
      <c r="D137" s="340" t="str">
        <f t="shared" si="22"/>
        <v>n/a</v>
      </c>
      <c r="E137" s="340" t="str">
        <f t="shared" si="23"/>
        <v>n/a</v>
      </c>
      <c r="F137" s="341">
        <f t="shared" si="18"/>
        <v>0</v>
      </c>
      <c r="G137" s="328">
        <f t="shared" si="24"/>
        <v>0</v>
      </c>
      <c r="H137" s="328">
        <f t="shared" si="19"/>
        <v>0</v>
      </c>
      <c r="I137" s="328">
        <f t="shared" si="20"/>
        <v>0</v>
      </c>
      <c r="J137" s="342">
        <f t="shared" si="21"/>
        <v>0</v>
      </c>
      <c r="K137" s="342">
        <f t="shared" si="25"/>
        <v>0</v>
      </c>
    </row>
    <row r="138" spans="2:11" x14ac:dyDescent="0.2">
      <c r="B138" s="13">
        <v>114</v>
      </c>
      <c r="C138" s="12">
        <f t="shared" si="17"/>
        <v>3500</v>
      </c>
      <c r="D138" s="340" t="str">
        <f t="shared" si="22"/>
        <v>n/a</v>
      </c>
      <c r="E138" s="340" t="str">
        <f t="shared" si="23"/>
        <v>n/a</v>
      </c>
      <c r="F138" s="341">
        <f t="shared" si="18"/>
        <v>0</v>
      </c>
      <c r="G138" s="328">
        <f t="shared" si="24"/>
        <v>0</v>
      </c>
      <c r="H138" s="328">
        <f t="shared" si="19"/>
        <v>0</v>
      </c>
      <c r="I138" s="328">
        <f t="shared" si="20"/>
        <v>0</v>
      </c>
      <c r="J138" s="342">
        <f t="shared" si="21"/>
        <v>0</v>
      </c>
      <c r="K138" s="342">
        <f t="shared" si="25"/>
        <v>0</v>
      </c>
    </row>
    <row r="139" spans="2:11" x14ac:dyDescent="0.2">
      <c r="B139" s="13">
        <v>115</v>
      </c>
      <c r="C139" s="12">
        <f t="shared" si="17"/>
        <v>3531</v>
      </c>
      <c r="D139" s="340" t="str">
        <f t="shared" si="22"/>
        <v>n/a</v>
      </c>
      <c r="E139" s="340" t="str">
        <f t="shared" si="23"/>
        <v>n/a</v>
      </c>
      <c r="F139" s="341">
        <f t="shared" si="18"/>
        <v>0</v>
      </c>
      <c r="G139" s="328">
        <f t="shared" si="24"/>
        <v>0</v>
      </c>
      <c r="H139" s="328">
        <f t="shared" si="19"/>
        <v>0</v>
      </c>
      <c r="I139" s="328">
        <f t="shared" si="20"/>
        <v>0</v>
      </c>
      <c r="J139" s="342">
        <f t="shared" si="21"/>
        <v>0</v>
      </c>
      <c r="K139" s="342">
        <f t="shared" si="25"/>
        <v>0</v>
      </c>
    </row>
    <row r="140" spans="2:11" x14ac:dyDescent="0.2">
      <c r="B140" s="13">
        <v>116</v>
      </c>
      <c r="C140" s="12">
        <f t="shared" si="17"/>
        <v>3561</v>
      </c>
      <c r="D140" s="340" t="str">
        <f t="shared" si="22"/>
        <v>n/a</v>
      </c>
      <c r="E140" s="340" t="str">
        <f t="shared" si="23"/>
        <v>n/a</v>
      </c>
      <c r="F140" s="341">
        <f t="shared" si="18"/>
        <v>0</v>
      </c>
      <c r="G140" s="328">
        <f t="shared" si="24"/>
        <v>0</v>
      </c>
      <c r="H140" s="328">
        <f t="shared" si="19"/>
        <v>0</v>
      </c>
      <c r="I140" s="328">
        <f t="shared" si="20"/>
        <v>0</v>
      </c>
      <c r="J140" s="342">
        <f t="shared" si="21"/>
        <v>0</v>
      </c>
      <c r="K140" s="342">
        <f t="shared" si="25"/>
        <v>0</v>
      </c>
    </row>
    <row r="141" spans="2:11" x14ac:dyDescent="0.2">
      <c r="B141" s="13">
        <v>117</v>
      </c>
      <c r="C141" s="12">
        <f t="shared" si="17"/>
        <v>3592</v>
      </c>
      <c r="D141" s="340" t="str">
        <f t="shared" si="22"/>
        <v>n/a</v>
      </c>
      <c r="E141" s="340" t="str">
        <f t="shared" si="23"/>
        <v>n/a</v>
      </c>
      <c r="F141" s="341">
        <f t="shared" si="18"/>
        <v>0</v>
      </c>
      <c r="G141" s="328">
        <f t="shared" si="24"/>
        <v>0</v>
      </c>
      <c r="H141" s="328">
        <f t="shared" si="19"/>
        <v>0</v>
      </c>
      <c r="I141" s="328">
        <f t="shared" si="20"/>
        <v>0</v>
      </c>
      <c r="J141" s="342">
        <f t="shared" si="21"/>
        <v>0</v>
      </c>
      <c r="K141" s="342">
        <f t="shared" si="25"/>
        <v>0</v>
      </c>
    </row>
    <row r="142" spans="2:11" x14ac:dyDescent="0.2">
      <c r="B142" s="13">
        <v>118</v>
      </c>
      <c r="C142" s="12">
        <f t="shared" si="17"/>
        <v>3622</v>
      </c>
      <c r="D142" s="340" t="str">
        <f t="shared" si="22"/>
        <v>n/a</v>
      </c>
      <c r="E142" s="340" t="str">
        <f t="shared" si="23"/>
        <v>n/a</v>
      </c>
      <c r="F142" s="341">
        <f t="shared" si="18"/>
        <v>0</v>
      </c>
      <c r="G142" s="328">
        <f t="shared" si="24"/>
        <v>0</v>
      </c>
      <c r="H142" s="328">
        <f t="shared" si="19"/>
        <v>0</v>
      </c>
      <c r="I142" s="328">
        <f t="shared" si="20"/>
        <v>0</v>
      </c>
      <c r="J142" s="342">
        <f t="shared" si="21"/>
        <v>0</v>
      </c>
      <c r="K142" s="342">
        <f t="shared" si="25"/>
        <v>0</v>
      </c>
    </row>
    <row r="143" spans="2:11" x14ac:dyDescent="0.2">
      <c r="B143" s="13">
        <v>119</v>
      </c>
      <c r="C143" s="12">
        <f t="shared" si="17"/>
        <v>3653</v>
      </c>
      <c r="D143" s="340" t="str">
        <f t="shared" si="22"/>
        <v>n/a</v>
      </c>
      <c r="E143" s="340" t="str">
        <f t="shared" si="23"/>
        <v>n/a</v>
      </c>
      <c r="F143" s="341">
        <f t="shared" si="18"/>
        <v>0</v>
      </c>
      <c r="G143" s="328">
        <f t="shared" si="24"/>
        <v>0</v>
      </c>
      <c r="H143" s="328">
        <f t="shared" si="19"/>
        <v>0</v>
      </c>
      <c r="I143" s="328">
        <f t="shared" si="20"/>
        <v>0</v>
      </c>
      <c r="J143" s="342">
        <f t="shared" si="21"/>
        <v>0</v>
      </c>
      <c r="K143" s="342">
        <f t="shared" si="25"/>
        <v>0</v>
      </c>
    </row>
    <row r="144" spans="2:11" ht="13.5" thickBot="1" x14ac:dyDescent="0.25">
      <c r="B144" s="8">
        <v>120</v>
      </c>
      <c r="C144" s="7">
        <f t="shared" si="17"/>
        <v>3684</v>
      </c>
      <c r="D144" s="343" t="str">
        <f t="shared" si="22"/>
        <v>n/a</v>
      </c>
      <c r="E144" s="343" t="str">
        <f t="shared" si="23"/>
        <v>n/a</v>
      </c>
      <c r="F144" s="337">
        <f t="shared" si="18"/>
        <v>0</v>
      </c>
      <c r="G144" s="338">
        <f t="shared" si="24"/>
        <v>0</v>
      </c>
      <c r="H144" s="338">
        <f t="shared" si="19"/>
        <v>0</v>
      </c>
      <c r="I144" s="338">
        <f t="shared" si="20"/>
        <v>0</v>
      </c>
      <c r="J144" s="339">
        <f t="shared" si="21"/>
        <v>0</v>
      </c>
      <c r="K144" s="339">
        <f t="shared" si="25"/>
        <v>0</v>
      </c>
    </row>
  </sheetData>
  <autoFilter ref="B23:K23" xr:uid="{349CFC53-1296-41A3-B097-EFB3D34ACDCF}"/>
  <mergeCells count="2">
    <mergeCell ref="G5:H5"/>
    <mergeCell ref="J5:K5"/>
  </mergeCells>
  <dataValidations count="3">
    <dataValidation type="custom" allowBlank="1" showInputMessage="1" showErrorMessage="1" sqref="K7:K18" xr:uid="{76562F0E-B79E-40CA-8359-257EF1ABEF6E}">
      <formula1>OR(ISNUMBER(K7),K7="bullet")</formula1>
    </dataValidation>
    <dataValidation type="custom" allowBlank="1" showInputMessage="1" showErrorMessage="1" sqref="H7:H18" xr:uid="{9976789E-0AFA-4579-BB54-798DD8E69505}">
      <formula1>OR(ISNUMBER(H7),H7="interest")</formula1>
    </dataValidation>
    <dataValidation type="list" allowBlank="1" showInputMessage="1" showErrorMessage="1" sqref="D13" xr:uid="{BC4512B6-3DFF-42CB-913C-4CF78494E741}">
      <formula1>"lump-sum,annually,semiannually,quarterly,monthly"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7DBEE-F79B-4056-A95F-1EB5684148D4}">
  <sheetPr>
    <tabColor rgb="FFE83E33"/>
    <pageSetUpPr autoPageBreaks="0" fitToPage="1"/>
  </sheetPr>
  <dimension ref="A1:BI246"/>
  <sheetViews>
    <sheetView showGridLines="0" tabSelected="1" topLeftCell="A43" zoomScale="85" zoomScaleNormal="85" zoomScaleSheetLayoutView="85" workbookViewId="0">
      <selection activeCell="J54" sqref="J54"/>
    </sheetView>
  </sheetViews>
  <sheetFormatPr defaultColWidth="9.140625" defaultRowHeight="15" x14ac:dyDescent="0.25"/>
  <cols>
    <col min="1" max="1" width="1.85546875" style="1" customWidth="1"/>
    <col min="2" max="2" width="6.5703125" style="1" customWidth="1"/>
    <col min="3" max="3" width="4.140625" style="1" customWidth="1"/>
    <col min="4" max="4" width="53" style="1" bestFit="1" customWidth="1"/>
    <col min="5" max="5" width="25.5703125" style="1" bestFit="1" customWidth="1"/>
    <col min="6" max="6" width="26.85546875" style="1" bestFit="1" customWidth="1"/>
    <col min="7" max="7" width="19.42578125" style="1" bestFit="1" customWidth="1"/>
    <col min="8" max="8" width="27.28515625" style="1" bestFit="1" customWidth="1"/>
    <col min="9" max="9" width="14.5703125" style="1" bestFit="1" customWidth="1"/>
    <col min="10" max="10" width="14.28515625" style="1" customWidth="1"/>
    <col min="11" max="11" width="19.42578125" style="1" bestFit="1" customWidth="1"/>
    <col min="12" max="12" width="14.42578125" style="1" bestFit="1" customWidth="1"/>
    <col min="13" max="13" width="26.42578125" style="1" bestFit="1" customWidth="1"/>
    <col min="14" max="14" width="15.5703125" style="1" bestFit="1" customWidth="1"/>
    <col min="15" max="15" width="10.85546875" style="1" customWidth="1"/>
    <col min="16" max="17" width="25.42578125" style="1" customWidth="1"/>
    <col min="18" max="18" width="23.140625" style="1" bestFit="1" customWidth="1"/>
    <col min="19" max="19" width="17.42578125" style="1" bestFit="1" customWidth="1"/>
    <col min="20" max="20" width="18.42578125" style="1" bestFit="1" customWidth="1"/>
    <col min="21" max="21" width="26" style="1" customWidth="1"/>
    <col min="22" max="22" width="12.85546875" style="1" bestFit="1" customWidth="1"/>
    <col min="23" max="23" width="12.42578125" style="1" customWidth="1"/>
    <col min="24" max="24" width="14.28515625" style="1" bestFit="1" customWidth="1"/>
    <col min="25" max="26" width="13.42578125" style="1" customWidth="1"/>
    <col min="27" max="27" width="15.42578125" style="1" customWidth="1"/>
    <col min="28" max="28" width="13.140625" style="1" bestFit="1" customWidth="1"/>
    <col min="29" max="29" width="13" style="1" bestFit="1" customWidth="1"/>
    <col min="30" max="31" width="13.42578125" style="1" customWidth="1"/>
    <col min="32" max="32" width="14.5703125" style="1" customWidth="1"/>
    <col min="33" max="33" width="16.7109375" style="1" customWidth="1"/>
    <col min="34" max="41" width="15.42578125" style="1" customWidth="1"/>
    <col min="42" max="42" width="9.42578125" style="1" bestFit="1" customWidth="1"/>
    <col min="43" max="43" width="17.5703125" style="1" bestFit="1" customWidth="1"/>
    <col min="44" max="44" width="13.140625" style="1" bestFit="1" customWidth="1"/>
    <col min="45" max="45" width="19.140625" style="1" customWidth="1"/>
    <col min="46" max="46" width="12.5703125" style="1" customWidth="1"/>
    <col min="47" max="47" width="11.42578125" style="1" bestFit="1" customWidth="1"/>
    <col min="48" max="48" width="21.5703125" style="1" customWidth="1"/>
    <col min="49" max="50" width="15.85546875" style="1" customWidth="1"/>
    <col min="52" max="52" width="10.7109375" style="1" bestFit="1" customWidth="1"/>
    <col min="53" max="53" width="10.140625" style="1" bestFit="1" customWidth="1"/>
    <col min="54" max="54" width="13" style="1" bestFit="1" customWidth="1"/>
    <col min="55" max="55" width="13.42578125" style="1" customWidth="1"/>
    <col min="56" max="57" width="10.140625" style="1" bestFit="1" customWidth="1"/>
    <col min="58" max="58" width="11.5703125" style="1" bestFit="1" customWidth="1"/>
    <col min="59" max="59" width="13.42578125" style="1" customWidth="1"/>
    <col min="60" max="60" width="10.140625" style="1" bestFit="1" customWidth="1"/>
    <col min="61" max="61" width="5.5703125" style="1" bestFit="1" customWidth="1"/>
  </cols>
  <sheetData>
    <row r="1" spans="1:61" ht="6" customHeight="1" thickBot="1" x14ac:dyDescent="0.3">
      <c r="A1" s="14"/>
      <c r="B1" s="9"/>
      <c r="C1" s="9"/>
      <c r="D1" s="9"/>
      <c r="E1" s="9"/>
      <c r="F1" s="9"/>
      <c r="G1" s="9"/>
      <c r="H1" s="9"/>
      <c r="I1" s="9"/>
      <c r="J1" s="9"/>
      <c r="K1" s="9"/>
      <c r="L1" s="14"/>
      <c r="M1" s="14"/>
      <c r="N1" s="14"/>
      <c r="O1" s="14"/>
      <c r="P1" s="14"/>
      <c r="Q1" s="14"/>
      <c r="R1" s="9"/>
      <c r="S1" s="9"/>
      <c r="T1" s="9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9"/>
      <c r="BC1" s="14"/>
      <c r="BD1" s="14"/>
      <c r="BE1" s="14"/>
      <c r="BF1" s="9"/>
      <c r="BG1" s="14"/>
      <c r="BH1" s="14"/>
      <c r="BI1" s="14"/>
    </row>
    <row r="2" spans="1:61" x14ac:dyDescent="0.25">
      <c r="A2" s="14"/>
      <c r="B2" s="14"/>
      <c r="C2" s="78"/>
      <c r="D2" s="77"/>
      <c r="E2" s="77"/>
      <c r="F2" s="77"/>
      <c r="G2" s="77"/>
      <c r="H2" s="77"/>
      <c r="I2" s="77"/>
      <c r="J2" s="77"/>
      <c r="K2" s="81"/>
      <c r="L2" s="14"/>
      <c r="M2" s="14"/>
      <c r="N2" s="9"/>
      <c r="O2" s="9"/>
      <c r="P2" s="9"/>
      <c r="Q2" s="9"/>
      <c r="R2" s="9"/>
      <c r="S2" s="9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9"/>
      <c r="BB2" s="14"/>
      <c r="BC2" s="14"/>
      <c r="BD2" s="14"/>
      <c r="BE2" s="9"/>
      <c r="BF2" s="14"/>
      <c r="BG2" s="14"/>
      <c r="BH2" s="14"/>
      <c r="BI2" s="14"/>
    </row>
    <row r="3" spans="1:61" ht="20.25" x14ac:dyDescent="0.3">
      <c r="A3" s="14"/>
      <c r="B3" s="14"/>
      <c r="C3" s="35"/>
      <c r="D3" s="219"/>
      <c r="E3" s="76"/>
      <c r="F3" s="9"/>
      <c r="G3" s="14"/>
      <c r="H3" s="14"/>
      <c r="I3" s="14"/>
      <c r="J3" s="14"/>
      <c r="K3" s="33"/>
      <c r="L3" s="14"/>
      <c r="M3" s="365" t="s">
        <v>103</v>
      </c>
      <c r="N3" s="366"/>
      <c r="O3" s="14"/>
      <c r="P3" s="365" t="s">
        <v>104</v>
      </c>
      <c r="Q3" s="366"/>
      <c r="T3" s="14"/>
      <c r="U3" s="118"/>
      <c r="V3" s="119"/>
      <c r="W3" s="120"/>
      <c r="X3" s="118" t="s">
        <v>74</v>
      </c>
      <c r="Y3" s="119" t="s">
        <v>75</v>
      </c>
      <c r="Z3" s="119" t="s">
        <v>76</v>
      </c>
      <c r="AA3" s="119" t="s">
        <v>77</v>
      </c>
      <c r="AB3" s="120" t="s">
        <v>78</v>
      </c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9"/>
      <c r="BB3" s="14"/>
      <c r="BC3" s="14"/>
      <c r="BD3" s="14"/>
      <c r="BE3" s="9"/>
      <c r="BF3" s="14"/>
      <c r="BG3" s="14"/>
      <c r="BH3" s="14"/>
      <c r="BI3" s="14"/>
    </row>
    <row r="4" spans="1:61" x14ac:dyDescent="0.25">
      <c r="A4" s="14"/>
      <c r="B4" s="14"/>
      <c r="C4" s="35"/>
      <c r="D4" s="75" t="s">
        <v>50</v>
      </c>
      <c r="E4" s="74"/>
      <c r="F4" s="9"/>
      <c r="G4" s="14"/>
      <c r="H4" s="14"/>
      <c r="I4" s="14"/>
      <c r="J4" s="14"/>
      <c r="K4" s="33"/>
      <c r="L4" s="14"/>
      <c r="M4" s="161"/>
      <c r="N4" s="162"/>
      <c r="O4" s="14"/>
      <c r="P4" s="161"/>
      <c r="Q4" s="162"/>
      <c r="T4" s="14"/>
      <c r="U4" s="255" t="s">
        <v>55</v>
      </c>
      <c r="V4" s="188">
        <f>E20/1000000</f>
        <v>0</v>
      </c>
      <c r="W4" s="189"/>
      <c r="X4" s="186">
        <f>V4</f>
        <v>0</v>
      </c>
      <c r="Y4" s="186">
        <f>X4</f>
        <v>0</v>
      </c>
      <c r="Z4" s="186"/>
      <c r="AA4" s="186"/>
      <c r="AB4" s="187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9"/>
      <c r="BB4" s="14"/>
      <c r="BC4" s="14"/>
      <c r="BD4" s="14"/>
      <c r="BE4" s="9"/>
      <c r="BF4" s="14"/>
      <c r="BG4" s="14"/>
      <c r="BH4" s="14"/>
      <c r="BI4" s="14"/>
    </row>
    <row r="5" spans="1:61" ht="15.75" thickBot="1" x14ac:dyDescent="0.3">
      <c r="A5" s="14"/>
      <c r="B5" s="14"/>
      <c r="C5" s="35"/>
      <c r="D5" s="9"/>
      <c r="E5" s="9"/>
      <c r="F5" s="9"/>
      <c r="G5" s="14"/>
      <c r="H5" s="14"/>
      <c r="I5" s="14"/>
      <c r="J5" s="14"/>
      <c r="K5" s="33"/>
      <c r="L5" s="14"/>
      <c r="M5" s="163" t="s">
        <v>51</v>
      </c>
      <c r="N5" s="164"/>
      <c r="O5" s="140"/>
      <c r="P5" s="163" t="s">
        <v>51</v>
      </c>
      <c r="Q5" s="164"/>
      <c r="T5" s="14"/>
      <c r="U5" s="256" t="s">
        <v>145</v>
      </c>
      <c r="V5" s="188">
        <f>E94/1000000</f>
        <v>0</v>
      </c>
      <c r="W5" s="189">
        <f>V5-V4</f>
        <v>0</v>
      </c>
      <c r="X5" s="186">
        <f>W5</f>
        <v>0</v>
      </c>
      <c r="Y5" s="186"/>
      <c r="Z5" s="186">
        <f>MIN(SUM(X$4:X4),SUM(X$4:X5))</f>
        <v>0</v>
      </c>
      <c r="AA5" s="186">
        <f>MAX(X5,0)</f>
        <v>0</v>
      </c>
      <c r="AB5" s="187">
        <f>-MIN(X5,0)</f>
        <v>0</v>
      </c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9"/>
      <c r="BB5" s="14"/>
      <c r="BC5" s="14"/>
      <c r="BD5" s="14"/>
      <c r="BE5" s="9"/>
      <c r="BF5" s="14"/>
      <c r="BG5" s="14"/>
      <c r="BH5" s="14"/>
      <c r="BI5" s="14"/>
    </row>
    <row r="6" spans="1:61" ht="15.75" thickBot="1" x14ac:dyDescent="0.3">
      <c r="A6" s="14"/>
      <c r="B6" s="14"/>
      <c r="C6" s="35"/>
      <c r="D6" s="57" t="s">
        <v>49</v>
      </c>
      <c r="E6" s="56" t="s">
        <v>26</v>
      </c>
      <c r="F6" s="9"/>
      <c r="G6" s="14"/>
      <c r="H6" s="14"/>
      <c r="I6" s="14"/>
      <c r="J6" s="14"/>
      <c r="K6" s="33"/>
      <c r="L6" s="14"/>
      <c r="M6" s="161"/>
      <c r="N6" s="162"/>
      <c r="O6" s="14"/>
      <c r="P6" s="161"/>
      <c r="Q6" s="162"/>
      <c r="T6" s="14"/>
      <c r="U6" s="259" t="s">
        <v>147</v>
      </c>
      <c r="V6" s="188" t="e">
        <f>SUM(R126:R245)/1000000</f>
        <v>#DIV/0!</v>
      </c>
      <c r="W6" s="189" t="e">
        <f>V6-V5</f>
        <v>#DIV/0!</v>
      </c>
      <c r="X6" s="186" t="e">
        <f>W6</f>
        <v>#DIV/0!</v>
      </c>
      <c r="Y6" s="186"/>
      <c r="Z6" s="186" t="e">
        <f>MIN(SUM(X$4:X5),SUM(X$4:X6))</f>
        <v>#DIV/0!</v>
      </c>
      <c r="AA6" s="186" t="e">
        <f>MAX(X6,0)</f>
        <v>#DIV/0!</v>
      </c>
      <c r="AB6" s="187" t="e">
        <f>-MIN(X6,0)</f>
        <v>#DIV/0!</v>
      </c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9"/>
      <c r="BB6" s="14"/>
      <c r="BC6" s="14"/>
      <c r="BD6" s="14"/>
      <c r="BE6" s="9"/>
      <c r="BF6" s="14"/>
      <c r="BG6" s="14"/>
      <c r="BH6" s="14"/>
      <c r="BI6" s="14"/>
    </row>
    <row r="7" spans="1:61" x14ac:dyDescent="0.25">
      <c r="A7" s="14"/>
      <c r="B7" s="14"/>
      <c r="C7" s="35"/>
      <c r="D7" s="73" t="s">
        <v>48</v>
      </c>
      <c r="E7" s="220"/>
      <c r="F7" s="72"/>
      <c r="G7" s="14"/>
      <c r="H7" s="14"/>
      <c r="I7" s="14"/>
      <c r="J7" s="14"/>
      <c r="K7" s="33"/>
      <c r="L7" s="14"/>
      <c r="M7" s="161" t="s">
        <v>64</v>
      </c>
      <c r="N7" s="165" t="e">
        <f>(1+XIRR(AZ125:AZ245,D125:D245))^(1/365)-1</f>
        <v>#NUM!</v>
      </c>
      <c r="O7" s="93"/>
      <c r="P7" s="161" t="s">
        <v>64</v>
      </c>
      <c r="Q7" s="165" t="e">
        <f>(1+XIRR(AL125:AL245,D125:D245))^(1/365)-1</f>
        <v>#NUM!</v>
      </c>
      <c r="T7" s="14"/>
      <c r="U7" s="84" t="s">
        <v>130</v>
      </c>
      <c r="V7" s="188" t="e">
        <f>SUM(AO126:AO245)/1000000</f>
        <v>#NUM!</v>
      </c>
      <c r="W7" s="189" t="e">
        <f>V7-V6</f>
        <v>#NUM!</v>
      </c>
      <c r="X7" s="186" t="e">
        <f>W7</f>
        <v>#NUM!</v>
      </c>
      <c r="Y7" s="186"/>
      <c r="Z7" s="186" t="e">
        <f>MIN(SUM(X$4:X6),SUM(X$4:X7))</f>
        <v>#DIV/0!</v>
      </c>
      <c r="AA7" s="186" t="e">
        <f>MAX(X7,0)</f>
        <v>#NUM!</v>
      </c>
      <c r="AB7" s="187" t="e">
        <f>-MIN(X7,0)</f>
        <v>#NUM!</v>
      </c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9"/>
      <c r="BB7" s="14"/>
      <c r="BC7" s="14"/>
      <c r="BD7" s="14"/>
      <c r="BE7" s="9"/>
      <c r="BF7" s="14"/>
      <c r="BG7" s="14"/>
      <c r="BH7" s="14"/>
      <c r="BI7" s="14"/>
    </row>
    <row r="8" spans="1:61" x14ac:dyDescent="0.25">
      <c r="A8" s="14"/>
      <c r="B8" s="14"/>
      <c r="C8" s="35"/>
      <c r="D8" s="61" t="s">
        <v>47</v>
      </c>
      <c r="E8" s="221"/>
      <c r="F8" s="72"/>
      <c r="G8" s="14"/>
      <c r="H8" s="14"/>
      <c r="I8" s="14"/>
      <c r="J8" s="14"/>
      <c r="K8" s="33"/>
      <c r="L8" s="14"/>
      <c r="M8" s="161" t="s">
        <v>65</v>
      </c>
      <c r="N8" s="166" t="e">
        <f>BD245</f>
        <v>#NUM!</v>
      </c>
      <c r="O8" s="94"/>
      <c r="P8" s="161" t="s">
        <v>65</v>
      </c>
      <c r="Q8" s="166" t="e">
        <f>BH245</f>
        <v>#NUM!</v>
      </c>
      <c r="T8" s="14"/>
      <c r="U8" s="84" t="s">
        <v>84</v>
      </c>
      <c r="V8" s="188" t="e">
        <f>SUM(AV126:AV245)/1000000</f>
        <v>#NUM!</v>
      </c>
      <c r="W8" s="189" t="e">
        <f>V8-V7</f>
        <v>#NUM!</v>
      </c>
      <c r="X8" s="186" t="e">
        <f>W8</f>
        <v>#NUM!</v>
      </c>
      <c r="Y8" s="186"/>
      <c r="Z8" s="186" t="e">
        <f>MIN(SUM(X$4:X7),SUM(X$4:X8))</f>
        <v>#DIV/0!</v>
      </c>
      <c r="AA8" s="186" t="e">
        <f>MAX(X8,0)</f>
        <v>#NUM!</v>
      </c>
      <c r="AB8" s="187" t="e">
        <f>-MIN(X8,0)</f>
        <v>#NUM!</v>
      </c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9"/>
      <c r="BB8" s="14"/>
      <c r="BC8" s="14"/>
      <c r="BD8" s="14"/>
      <c r="BE8" s="9"/>
      <c r="BF8" s="14"/>
      <c r="BG8" s="14"/>
      <c r="BH8" s="14"/>
      <c r="BI8" s="14"/>
    </row>
    <row r="9" spans="1:61" x14ac:dyDescent="0.25">
      <c r="A9" s="14"/>
      <c r="B9" s="14"/>
      <c r="C9" s="35"/>
      <c r="D9" s="71" t="s">
        <v>46</v>
      </c>
      <c r="E9" s="222"/>
      <c r="F9" s="70"/>
      <c r="G9" s="14"/>
      <c r="H9" s="14"/>
      <c r="I9" s="14"/>
      <c r="J9" s="14"/>
      <c r="K9" s="33"/>
      <c r="L9" s="14"/>
      <c r="M9" s="161" t="s">
        <v>56</v>
      </c>
      <c r="N9" s="167" t="e">
        <f>ROUND(BB123+BC123,0)=ROUND(H123,0)</f>
        <v>#NUM!</v>
      </c>
      <c r="O9" s="95"/>
      <c r="P9" s="174" t="s">
        <v>56</v>
      </c>
      <c r="Q9" s="175" t="e">
        <f>ROUND(BF123+BG123,0)=ROUND(AL123-AL125,0)</f>
        <v>#NUM!</v>
      </c>
      <c r="T9" s="14"/>
      <c r="U9" s="117" t="s">
        <v>89</v>
      </c>
      <c r="V9" s="190"/>
      <c r="W9" s="191"/>
      <c r="X9" s="192"/>
      <c r="Y9" s="192" t="e">
        <f>SUM(X4:X8)</f>
        <v>#DIV/0!</v>
      </c>
      <c r="Z9" s="192"/>
      <c r="AA9" s="192"/>
      <c r="AB9" s="193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9"/>
      <c r="BB9" s="14"/>
      <c r="BC9" s="14"/>
      <c r="BD9" s="14"/>
      <c r="BE9" s="9"/>
      <c r="BF9" s="14"/>
      <c r="BG9" s="14"/>
      <c r="BH9" s="14"/>
      <c r="BI9" s="14"/>
    </row>
    <row r="10" spans="1:61" x14ac:dyDescent="0.25">
      <c r="A10" s="14"/>
      <c r="B10" s="14"/>
      <c r="C10" s="35"/>
      <c r="D10" s="71" t="s">
        <v>45</v>
      </c>
      <c r="E10" s="222"/>
      <c r="F10" s="70"/>
      <c r="G10" s="14"/>
      <c r="H10" s="14"/>
      <c r="I10" s="14"/>
      <c r="J10" s="14"/>
      <c r="K10" s="33"/>
      <c r="L10" s="14"/>
      <c r="M10" s="161" t="s">
        <v>57</v>
      </c>
      <c r="N10" s="167" t="e">
        <f>N8&lt;1000</f>
        <v>#NUM!</v>
      </c>
      <c r="O10" s="95"/>
      <c r="P10" s="174" t="s">
        <v>57</v>
      </c>
      <c r="Q10" s="175" t="e">
        <f>Q8&lt;1000</f>
        <v>#NUM!</v>
      </c>
      <c r="T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9"/>
      <c r="BB10" s="14"/>
      <c r="BC10" s="14"/>
      <c r="BD10" s="14"/>
      <c r="BE10" s="9"/>
      <c r="BF10" s="14"/>
      <c r="BG10" s="14"/>
      <c r="BH10" s="14"/>
      <c r="BI10" s="14"/>
    </row>
    <row r="11" spans="1:61" x14ac:dyDescent="0.25">
      <c r="A11" s="14"/>
      <c r="B11" s="14"/>
      <c r="C11" s="35"/>
      <c r="D11" s="60" t="s">
        <v>44</v>
      </c>
      <c r="E11" s="223"/>
      <c r="F11" s="69"/>
      <c r="G11" s="14"/>
      <c r="H11" s="14"/>
      <c r="I11" s="14"/>
      <c r="J11" s="14"/>
      <c r="K11" s="33"/>
      <c r="L11" s="14"/>
      <c r="M11" s="161" t="s">
        <v>66</v>
      </c>
      <c r="N11" s="167" t="e">
        <f>ROUND((AC123+V123)/(R123+Q123),3)=1</f>
        <v>#NUM!</v>
      </c>
      <c r="O11" s="95"/>
      <c r="P11" s="170"/>
      <c r="Q11" s="171"/>
      <c r="T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9"/>
      <c r="BB11" s="14"/>
      <c r="BC11" s="14"/>
      <c r="BD11" s="14"/>
      <c r="BE11" s="9"/>
      <c r="BF11" s="14"/>
      <c r="BG11" s="14"/>
      <c r="BH11" s="14"/>
      <c r="BI11" s="14"/>
    </row>
    <row r="12" spans="1:61" ht="15.75" thickBot="1" x14ac:dyDescent="0.3">
      <c r="A12" s="14"/>
      <c r="B12" s="14"/>
      <c r="C12" s="35"/>
      <c r="D12" s="59" t="s">
        <v>43</v>
      </c>
      <c r="E12" s="224"/>
      <c r="F12" s="69"/>
      <c r="G12" s="14"/>
      <c r="H12" s="14"/>
      <c r="I12" s="14"/>
      <c r="J12" s="14"/>
      <c r="K12" s="33"/>
      <c r="L12" s="14"/>
      <c r="M12" s="168"/>
      <c r="N12" s="169"/>
      <c r="O12" s="95"/>
      <c r="P12" s="176"/>
      <c r="Q12" s="177"/>
      <c r="T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9"/>
      <c r="BB12" s="14"/>
      <c r="BC12" s="14"/>
      <c r="BD12" s="14"/>
      <c r="BE12" s="9"/>
      <c r="BF12" s="14"/>
      <c r="BG12" s="14"/>
      <c r="BH12" s="14"/>
      <c r="BI12" s="14"/>
    </row>
    <row r="13" spans="1:61" ht="15.75" customHeight="1" thickBot="1" x14ac:dyDescent="0.3">
      <c r="A13" s="14"/>
      <c r="B13" s="14"/>
      <c r="C13" s="35"/>
      <c r="D13" s="9"/>
      <c r="E13" s="9"/>
      <c r="F13" s="58"/>
      <c r="G13" s="14"/>
      <c r="H13" s="14"/>
      <c r="I13" s="14"/>
      <c r="J13" s="14"/>
      <c r="K13" s="33"/>
      <c r="L13" s="14"/>
      <c r="T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9"/>
      <c r="BB13" s="14"/>
      <c r="BC13" s="14"/>
      <c r="BD13" s="14"/>
      <c r="BE13" s="9"/>
      <c r="BF13" s="14"/>
      <c r="BG13" s="14"/>
      <c r="BH13" s="14"/>
      <c r="BI13" s="14"/>
    </row>
    <row r="14" spans="1:61" ht="15.75" thickBot="1" x14ac:dyDescent="0.3">
      <c r="A14" s="14"/>
      <c r="B14" s="14"/>
      <c r="C14" s="35"/>
      <c r="D14" s="57" t="s">
        <v>42</v>
      </c>
      <c r="E14" s="56" t="s">
        <v>26</v>
      </c>
      <c r="F14" s="69"/>
      <c r="G14" s="69"/>
      <c r="H14" s="69"/>
      <c r="I14" s="14"/>
      <c r="J14" s="14"/>
      <c r="K14" s="33"/>
      <c r="L14" s="14"/>
      <c r="T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</row>
    <row r="15" spans="1:61" x14ac:dyDescent="0.25">
      <c r="A15" s="14"/>
      <c r="B15" s="14"/>
      <c r="C15" s="35"/>
      <c r="D15" s="68" t="s">
        <v>41</v>
      </c>
      <c r="E15" s="311">
        <f>GC!D9</f>
        <v>0</v>
      </c>
      <c r="F15" s="69"/>
      <c r="G15" s="69"/>
      <c r="H15" s="69"/>
      <c r="I15" s="14"/>
      <c r="J15" s="14"/>
      <c r="K15" s="33"/>
      <c r="L15" s="14"/>
      <c r="T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</row>
    <row r="16" spans="1:61" x14ac:dyDescent="0.25">
      <c r="A16" s="14"/>
      <c r="B16" s="14"/>
      <c r="C16" s="35"/>
      <c r="D16" s="67" t="s">
        <v>40</v>
      </c>
      <c r="E16" s="66">
        <f>E15</f>
        <v>0</v>
      </c>
      <c r="F16" s="69"/>
      <c r="G16" s="69"/>
      <c r="H16" s="69"/>
      <c r="I16" s="14"/>
      <c r="J16" s="14"/>
      <c r="K16" s="33"/>
      <c r="L16" s="14"/>
      <c r="T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47"/>
      <c r="BB16" s="45"/>
      <c r="BC16" s="14"/>
      <c r="BD16" s="14"/>
      <c r="BE16" s="47"/>
      <c r="BF16" s="45"/>
      <c r="BG16" s="14"/>
      <c r="BH16" s="14"/>
      <c r="BI16" s="14"/>
    </row>
    <row r="17" spans="1:61" x14ac:dyDescent="0.25">
      <c r="A17" s="14"/>
      <c r="B17" s="14"/>
      <c r="C17" s="35"/>
      <c r="D17" s="67" t="s">
        <v>39</v>
      </c>
      <c r="E17" s="66">
        <v>1</v>
      </c>
      <c r="F17" s="69"/>
      <c r="G17" s="69"/>
      <c r="H17" s="69"/>
      <c r="I17" s="14"/>
      <c r="J17" s="14"/>
      <c r="K17" s="33"/>
      <c r="L17" s="14"/>
      <c r="T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40"/>
      <c r="BB17" s="9"/>
      <c r="BC17" s="14"/>
      <c r="BD17" s="14"/>
      <c r="BE17" s="40"/>
      <c r="BF17" s="9"/>
      <c r="BG17" s="14"/>
      <c r="BH17" s="14"/>
      <c r="BI17" s="14"/>
    </row>
    <row r="18" spans="1:61" x14ac:dyDescent="0.25">
      <c r="A18" s="14"/>
      <c r="B18" s="14"/>
      <c r="C18" s="35"/>
      <c r="D18" s="67" t="s">
        <v>52</v>
      </c>
      <c r="E18" s="66">
        <v>1</v>
      </c>
      <c r="F18" s="69"/>
      <c r="G18" s="69"/>
      <c r="H18" s="69"/>
      <c r="I18" s="14"/>
      <c r="J18" s="14"/>
      <c r="K18" s="33"/>
      <c r="L18" s="14"/>
      <c r="T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40"/>
      <c r="BB18" s="14"/>
      <c r="BC18" s="14"/>
      <c r="BD18" s="14"/>
      <c r="BE18" s="40"/>
      <c r="BF18" s="14"/>
      <c r="BG18" s="14"/>
      <c r="BH18" s="14"/>
      <c r="BI18" s="14"/>
    </row>
    <row r="19" spans="1:61" x14ac:dyDescent="0.25">
      <c r="A19" s="14"/>
      <c r="B19" s="14"/>
      <c r="C19" s="35"/>
      <c r="D19" s="67" t="s">
        <v>38</v>
      </c>
      <c r="E19" s="66">
        <v>0</v>
      </c>
      <c r="F19" s="69"/>
      <c r="G19" s="69"/>
      <c r="H19" s="69"/>
      <c r="I19" s="14"/>
      <c r="J19" s="14"/>
      <c r="K19" s="33"/>
      <c r="L19" s="14"/>
      <c r="T19" s="42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40"/>
      <c r="BB19" s="14"/>
      <c r="BC19" s="14"/>
      <c r="BD19" s="14"/>
      <c r="BE19" s="40"/>
      <c r="BF19" s="14"/>
      <c r="BG19" s="14"/>
      <c r="BH19" s="14"/>
      <c r="BI19" s="14"/>
    </row>
    <row r="20" spans="1:61" x14ac:dyDescent="0.25">
      <c r="A20" s="14"/>
      <c r="B20" s="14"/>
      <c r="C20" s="35"/>
      <c r="D20" s="65" t="s">
        <v>37</v>
      </c>
      <c r="E20" s="225">
        <v>0</v>
      </c>
      <c r="F20" s="69"/>
      <c r="G20" s="69"/>
      <c r="H20" s="69"/>
      <c r="I20" s="14"/>
      <c r="J20" s="14"/>
      <c r="K20" s="33"/>
      <c r="L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40"/>
      <c r="BB20" s="14"/>
      <c r="BC20" s="14"/>
      <c r="BD20" s="14"/>
      <c r="BE20" s="40"/>
      <c r="BF20" s="14"/>
      <c r="BG20" s="14"/>
      <c r="BH20" s="14"/>
      <c r="BI20" s="14"/>
    </row>
    <row r="21" spans="1:61" ht="15.75" thickBot="1" x14ac:dyDescent="0.3">
      <c r="A21" s="14"/>
      <c r="B21" s="14"/>
      <c r="C21" s="35"/>
      <c r="D21" s="64" t="s">
        <v>36</v>
      </c>
      <c r="E21" s="63">
        <f>E15/E17</f>
        <v>0</v>
      </c>
      <c r="F21" s="69"/>
      <c r="G21" s="69"/>
      <c r="H21" s="69"/>
      <c r="I21" s="14"/>
      <c r="J21" s="14"/>
      <c r="K21" s="33"/>
      <c r="L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40"/>
      <c r="BB21" s="14"/>
      <c r="BC21" s="14"/>
      <c r="BD21" s="14"/>
      <c r="BE21" s="40"/>
      <c r="BF21" s="14"/>
      <c r="BG21" s="14"/>
      <c r="BH21" s="14"/>
      <c r="BI21" s="14"/>
    </row>
    <row r="22" spans="1:61" ht="15.75" thickBot="1" x14ac:dyDescent="0.3">
      <c r="A22" s="14"/>
      <c r="B22" s="14"/>
      <c r="C22" s="35"/>
      <c r="D22" s="62"/>
      <c r="E22" s="17"/>
      <c r="F22" s="9"/>
      <c r="G22" s="14"/>
      <c r="H22" s="14"/>
      <c r="I22" s="14"/>
      <c r="J22" s="14"/>
      <c r="K22" s="33"/>
      <c r="L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40"/>
      <c r="BB22" s="14"/>
      <c r="BC22" s="14"/>
      <c r="BD22" s="14"/>
      <c r="BE22" s="40"/>
      <c r="BF22" s="14"/>
      <c r="BG22" s="14"/>
      <c r="BH22" s="14"/>
      <c r="BI22" s="14"/>
    </row>
    <row r="23" spans="1:61" ht="15.75" thickBot="1" x14ac:dyDescent="0.3">
      <c r="A23" s="14"/>
      <c r="B23" s="14"/>
      <c r="C23" s="35"/>
      <c r="D23" s="96" t="s">
        <v>35</v>
      </c>
      <c r="E23" s="97"/>
      <c r="F23" s="97" t="s">
        <v>25</v>
      </c>
      <c r="G23" s="14"/>
      <c r="H23" s="14"/>
      <c r="I23" s="14"/>
      <c r="J23" s="14"/>
      <c r="K23" s="33"/>
      <c r="L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40"/>
      <c r="BB23" s="14"/>
      <c r="BC23" s="14"/>
      <c r="BD23" s="14"/>
      <c r="BE23" s="40"/>
      <c r="BF23" s="14"/>
      <c r="BG23" s="14"/>
      <c r="BH23" s="14"/>
      <c r="BI23" s="14"/>
    </row>
    <row r="24" spans="1:61" ht="14.1" customHeight="1" thickBot="1" x14ac:dyDescent="0.3">
      <c r="A24" s="14"/>
      <c r="B24" s="14"/>
      <c r="C24" s="246"/>
      <c r="D24" s="266" t="s">
        <v>143</v>
      </c>
      <c r="E24" s="267"/>
      <c r="F24" s="268" t="s">
        <v>144</v>
      </c>
      <c r="G24" s="14"/>
      <c r="H24" s="14"/>
      <c r="I24" s="14"/>
      <c r="J24" s="14"/>
      <c r="K24" s="33"/>
      <c r="L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40"/>
      <c r="BB24" s="14"/>
      <c r="BC24" s="14"/>
      <c r="BD24" s="14"/>
      <c r="BE24" s="40"/>
      <c r="BF24" s="14"/>
      <c r="BG24" s="14"/>
      <c r="BH24" s="14"/>
      <c r="BI24" s="14"/>
    </row>
    <row r="25" spans="1:61" ht="14.1" customHeight="1" x14ac:dyDescent="0.25">
      <c r="A25" s="14"/>
      <c r="B25" s="14"/>
      <c r="C25" s="362" t="s">
        <v>156</v>
      </c>
      <c r="D25" s="261" t="s">
        <v>157</v>
      </c>
      <c r="E25" s="262"/>
      <c r="F25" s="263" t="s">
        <v>30</v>
      </c>
      <c r="G25" s="14"/>
      <c r="H25" s="14"/>
      <c r="I25" s="14"/>
      <c r="J25" s="14"/>
      <c r="K25" s="33"/>
      <c r="L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40"/>
      <c r="BB25" s="14"/>
      <c r="BC25" s="14"/>
      <c r="BD25" s="14"/>
      <c r="BE25" s="40"/>
      <c r="BF25" s="14"/>
      <c r="BG25" s="14"/>
      <c r="BH25" s="14"/>
      <c r="BI25" s="14"/>
    </row>
    <row r="26" spans="1:61" ht="14.25" customHeight="1" x14ac:dyDescent="0.25">
      <c r="A26" s="14"/>
      <c r="B26" s="14"/>
      <c r="C26" s="363"/>
      <c r="D26" s="228" t="s">
        <v>34</v>
      </c>
      <c r="E26" s="229">
        <v>0</v>
      </c>
      <c r="F26" s="230" t="s">
        <v>70</v>
      </c>
      <c r="G26" s="14"/>
      <c r="H26" s="14"/>
      <c r="I26" s="14"/>
      <c r="J26" s="14"/>
      <c r="K26" s="33"/>
      <c r="L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40"/>
      <c r="BB26" s="14"/>
      <c r="BC26" s="14"/>
      <c r="BD26" s="14"/>
      <c r="BE26" s="40"/>
      <c r="BF26" s="14"/>
      <c r="BG26" s="14"/>
      <c r="BH26" s="14"/>
      <c r="BI26" s="14"/>
    </row>
    <row r="27" spans="1:61" ht="14.25" customHeight="1" x14ac:dyDescent="0.25">
      <c r="A27" s="14"/>
      <c r="B27" s="14"/>
      <c r="C27" s="363"/>
      <c r="D27" s="228" t="s">
        <v>33</v>
      </c>
      <c r="E27" s="231">
        <v>0</v>
      </c>
      <c r="F27" s="232" t="s">
        <v>30</v>
      </c>
      <c r="G27" s="14"/>
      <c r="H27" s="14"/>
      <c r="I27" s="14"/>
      <c r="J27" s="14"/>
      <c r="K27" s="33"/>
      <c r="L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40"/>
      <c r="BB27" s="14"/>
      <c r="BC27" s="14"/>
      <c r="BD27" s="14"/>
      <c r="BE27" s="40"/>
      <c r="BF27" s="14"/>
      <c r="BG27" s="14"/>
      <c r="BH27" s="14"/>
      <c r="BI27" s="14"/>
    </row>
    <row r="28" spans="1:61" ht="14.25" customHeight="1" x14ac:dyDescent="0.25">
      <c r="A28" s="14"/>
      <c r="B28" s="14"/>
      <c r="C28" s="363"/>
      <c r="D28" s="228" t="s">
        <v>32</v>
      </c>
      <c r="E28" s="229">
        <v>0</v>
      </c>
      <c r="F28" s="230" t="s">
        <v>70</v>
      </c>
      <c r="G28" s="14"/>
      <c r="H28" s="14"/>
      <c r="I28" s="14"/>
      <c r="J28" s="14"/>
      <c r="K28" s="33"/>
      <c r="L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40"/>
      <c r="BB28" s="14"/>
      <c r="BC28" s="14"/>
      <c r="BD28" s="14"/>
      <c r="BE28" s="40"/>
      <c r="BF28" s="14"/>
      <c r="BG28" s="14"/>
      <c r="BH28" s="14"/>
      <c r="BI28" s="14"/>
    </row>
    <row r="29" spans="1:61" ht="14.25" customHeight="1" x14ac:dyDescent="0.25">
      <c r="A29" s="14"/>
      <c r="B29" s="14"/>
      <c r="C29" s="363"/>
      <c r="D29" s="228" t="s">
        <v>31</v>
      </c>
      <c r="E29" s="231">
        <v>0</v>
      </c>
      <c r="F29" s="232" t="s">
        <v>30</v>
      </c>
      <c r="G29" s="14"/>
      <c r="H29" s="14"/>
      <c r="I29" s="14"/>
      <c r="J29" s="14"/>
      <c r="K29" s="33"/>
      <c r="L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40"/>
      <c r="BB29" s="14"/>
      <c r="BC29" s="14"/>
      <c r="BD29" s="14"/>
      <c r="BE29" s="40"/>
      <c r="BF29" s="14"/>
      <c r="BG29" s="14"/>
      <c r="BH29" s="14"/>
      <c r="BI29" s="14"/>
    </row>
    <row r="30" spans="1:61" ht="14.25" customHeight="1" x14ac:dyDescent="0.25">
      <c r="A30" s="14"/>
      <c r="B30" s="14"/>
      <c r="C30" s="363"/>
      <c r="D30" s="228" t="s">
        <v>158</v>
      </c>
      <c r="E30" s="239">
        <v>0</v>
      </c>
      <c r="F30" s="275" t="s">
        <v>159</v>
      </c>
      <c r="G30" s="14"/>
      <c r="H30" s="14"/>
      <c r="I30" s="14"/>
      <c r="J30" s="14"/>
      <c r="K30" s="33"/>
      <c r="L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40"/>
      <c r="BB30" s="14"/>
      <c r="BC30" s="14"/>
      <c r="BD30" s="14"/>
      <c r="BE30" s="40"/>
      <c r="BF30" s="14"/>
      <c r="BG30" s="14"/>
      <c r="BH30" s="14"/>
      <c r="BI30" s="14"/>
    </row>
    <row r="31" spans="1:61" ht="14.25" customHeight="1" x14ac:dyDescent="0.25">
      <c r="A31" s="14"/>
      <c r="B31" s="14"/>
      <c r="C31" s="363"/>
      <c r="D31" s="274" t="s">
        <v>160</v>
      </c>
      <c r="E31" s="231">
        <v>0</v>
      </c>
      <c r="F31" s="276"/>
      <c r="G31" s="14"/>
      <c r="H31" s="14"/>
      <c r="I31" s="14"/>
      <c r="J31" s="14"/>
      <c r="K31" s="33"/>
      <c r="L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40"/>
      <c r="BB31" s="14"/>
      <c r="BC31" s="14"/>
      <c r="BD31" s="14"/>
      <c r="BE31" s="40"/>
      <c r="BF31" s="14"/>
      <c r="BG31" s="14"/>
      <c r="BH31" s="14"/>
      <c r="BI31" s="14"/>
    </row>
    <row r="32" spans="1:61" ht="14.25" customHeight="1" x14ac:dyDescent="0.25">
      <c r="A32" s="14"/>
      <c r="B32" s="14"/>
      <c r="C32" s="363"/>
      <c r="D32" s="243" t="s">
        <v>101</v>
      </c>
      <c r="E32" s="208">
        <v>0</v>
      </c>
      <c r="F32" s="232" t="s">
        <v>106</v>
      </c>
      <c r="G32" s="14"/>
      <c r="H32" s="14"/>
      <c r="I32" s="14"/>
      <c r="J32" s="14"/>
      <c r="K32" s="33"/>
      <c r="L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40"/>
      <c r="BB32" s="14"/>
      <c r="BC32" s="14"/>
      <c r="BD32" s="14"/>
      <c r="BE32" s="40"/>
      <c r="BF32" s="14"/>
      <c r="BG32" s="14"/>
      <c r="BH32" s="14"/>
      <c r="BI32" s="14"/>
    </row>
    <row r="33" spans="1:61" ht="14.25" customHeight="1" x14ac:dyDescent="0.25">
      <c r="A33" s="14"/>
      <c r="B33" s="14"/>
      <c r="C33" s="363"/>
      <c r="D33" s="243" t="s">
        <v>153</v>
      </c>
      <c r="E33" s="208">
        <v>0</v>
      </c>
      <c r="F33" s="232" t="s">
        <v>106</v>
      </c>
      <c r="G33" s="14"/>
      <c r="H33" s="14"/>
      <c r="I33" s="14"/>
      <c r="J33" s="14"/>
      <c r="K33" s="33"/>
      <c r="L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40"/>
      <c r="BB33" s="14"/>
      <c r="BC33" s="14"/>
      <c r="BD33" s="14"/>
      <c r="BE33" s="40"/>
      <c r="BF33" s="14"/>
      <c r="BG33" s="14"/>
      <c r="BH33" s="14"/>
      <c r="BI33" s="14"/>
    </row>
    <row r="34" spans="1:61" ht="15" customHeight="1" x14ac:dyDescent="0.25">
      <c r="A34" s="14"/>
      <c r="B34" s="183"/>
      <c r="C34" s="363"/>
      <c r="D34" s="274" t="s">
        <v>154</v>
      </c>
      <c r="E34" s="208">
        <v>0</v>
      </c>
      <c r="F34" s="232" t="s">
        <v>28</v>
      </c>
      <c r="G34" s="14"/>
      <c r="H34" s="14"/>
      <c r="I34" s="14"/>
      <c r="J34" s="14"/>
      <c r="K34" s="33"/>
      <c r="L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40"/>
      <c r="BB34" s="14"/>
      <c r="BC34" s="14"/>
      <c r="BD34" s="14"/>
      <c r="BE34" s="40"/>
      <c r="BF34" s="14"/>
      <c r="BG34" s="14"/>
      <c r="BH34" s="14"/>
      <c r="BI34" s="14"/>
    </row>
    <row r="35" spans="1:61" ht="15" customHeight="1" x14ac:dyDescent="0.25">
      <c r="A35" s="14"/>
      <c r="B35" s="183"/>
      <c r="C35" s="363"/>
      <c r="D35" s="273" t="s">
        <v>155</v>
      </c>
      <c r="E35" s="231">
        <v>0</v>
      </c>
      <c r="F35" s="209" t="s">
        <v>114</v>
      </c>
      <c r="G35" s="14"/>
      <c r="H35" s="14"/>
      <c r="I35" s="14"/>
      <c r="J35" s="14"/>
      <c r="K35" s="33"/>
      <c r="L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40"/>
      <c r="BB35" s="14"/>
      <c r="BC35" s="14"/>
      <c r="BD35" s="14"/>
      <c r="BE35" s="40"/>
      <c r="BF35" s="14"/>
      <c r="BG35" s="14"/>
      <c r="BH35" s="14"/>
      <c r="BI35" s="14"/>
    </row>
    <row r="36" spans="1:61" ht="15" customHeight="1" x14ac:dyDescent="0.25">
      <c r="A36" s="14"/>
      <c r="B36" s="183"/>
      <c r="C36" s="363"/>
      <c r="D36" s="264" t="s">
        <v>105</v>
      </c>
      <c r="E36" s="265">
        <v>0</v>
      </c>
      <c r="F36" s="232" t="s">
        <v>150</v>
      </c>
      <c r="G36" s="14"/>
      <c r="H36" s="14"/>
      <c r="I36" s="14"/>
      <c r="J36" s="14"/>
      <c r="K36" s="33"/>
      <c r="L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40"/>
      <c r="BB36" s="14"/>
      <c r="BC36" s="14"/>
      <c r="BD36" s="14"/>
      <c r="BE36" s="40"/>
      <c r="BF36" s="14"/>
      <c r="BG36" s="14"/>
      <c r="BH36" s="14"/>
      <c r="BI36" s="14"/>
    </row>
    <row r="37" spans="1:61" ht="15" customHeight="1" x14ac:dyDescent="0.25">
      <c r="A37" s="14"/>
      <c r="B37" s="183"/>
      <c r="C37" s="363"/>
      <c r="D37" s="226" t="s">
        <v>96</v>
      </c>
      <c r="E37" s="239">
        <v>0.05</v>
      </c>
      <c r="F37" s="232" t="s">
        <v>98</v>
      </c>
      <c r="G37" s="14"/>
      <c r="H37" s="14"/>
      <c r="I37" s="14"/>
      <c r="J37" s="14"/>
      <c r="K37" s="33"/>
      <c r="L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40"/>
      <c r="BB37" s="14"/>
      <c r="BC37" s="14"/>
      <c r="BD37" s="14"/>
      <c r="BE37" s="40"/>
      <c r="BF37" s="14"/>
      <c r="BG37" s="14"/>
      <c r="BH37" s="14"/>
      <c r="BI37" s="14"/>
    </row>
    <row r="38" spans="1:61" ht="15" customHeight="1" x14ac:dyDescent="0.25">
      <c r="A38" s="14"/>
      <c r="B38" s="183"/>
      <c r="C38" s="363"/>
      <c r="D38" s="240" t="s">
        <v>97</v>
      </c>
      <c r="E38" s="241">
        <f>(1+E37)^(1/365)-1</f>
        <v>1.3368061711349633E-4</v>
      </c>
      <c r="F38" s="242" t="s">
        <v>99</v>
      </c>
      <c r="G38" s="14"/>
      <c r="H38" s="14"/>
      <c r="I38" s="14"/>
      <c r="J38" s="14"/>
      <c r="K38" s="33"/>
      <c r="L38" s="14"/>
      <c r="O38" s="95"/>
      <c r="P38" s="95"/>
      <c r="Q38" s="95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40"/>
      <c r="BB38" s="9"/>
      <c r="BC38" s="14"/>
      <c r="BD38" s="14"/>
      <c r="BE38" s="40"/>
      <c r="BF38" s="9"/>
      <c r="BG38" s="14"/>
      <c r="BH38" s="14"/>
      <c r="BI38" s="14"/>
    </row>
    <row r="39" spans="1:61" ht="15" customHeight="1" x14ac:dyDescent="0.25">
      <c r="A39" s="14"/>
      <c r="B39" s="183"/>
      <c r="C39" s="363"/>
      <c r="D39" s="243" t="s">
        <v>137</v>
      </c>
      <c r="E39" s="231">
        <v>0</v>
      </c>
      <c r="F39" s="232"/>
      <c r="G39" s="14"/>
      <c r="H39" s="14"/>
      <c r="I39" s="14"/>
      <c r="J39" s="14"/>
      <c r="K39" s="33"/>
      <c r="L39" s="14"/>
      <c r="M39" s="14"/>
      <c r="N39" s="14"/>
      <c r="O39" s="14"/>
      <c r="P39" s="14"/>
      <c r="Q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</row>
    <row r="40" spans="1:61" ht="15" customHeight="1" x14ac:dyDescent="0.25">
      <c r="A40" s="14"/>
      <c r="B40" s="183"/>
      <c r="C40" s="363"/>
      <c r="D40" s="243" t="s">
        <v>138</v>
      </c>
      <c r="E40" s="231">
        <v>0</v>
      </c>
      <c r="F40" s="232"/>
      <c r="G40" s="14"/>
      <c r="H40" s="14"/>
      <c r="I40" s="14"/>
      <c r="J40" s="14"/>
      <c r="K40" s="33"/>
      <c r="L40" s="14"/>
      <c r="M40" s="14"/>
      <c r="N40" s="14"/>
      <c r="O40" s="14"/>
      <c r="P40" s="14"/>
      <c r="Q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</row>
    <row r="41" spans="1:61" ht="15" customHeight="1" x14ac:dyDescent="0.25">
      <c r="A41" s="14"/>
      <c r="B41" s="183"/>
      <c r="C41" s="363"/>
      <c r="D41" s="243" t="s">
        <v>123</v>
      </c>
      <c r="E41" s="231">
        <v>0</v>
      </c>
      <c r="F41" s="232"/>
      <c r="G41" s="14"/>
      <c r="H41" s="14"/>
      <c r="I41" s="14"/>
      <c r="J41" s="14"/>
      <c r="K41" s="33"/>
      <c r="L41" s="14"/>
      <c r="M41" s="14"/>
      <c r="N41" s="14"/>
      <c r="O41" s="14"/>
      <c r="P41" s="14"/>
      <c r="Q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</row>
    <row r="42" spans="1:61" ht="15" customHeight="1" thickBot="1" x14ac:dyDescent="0.3">
      <c r="A42" s="14"/>
      <c r="B42" s="183"/>
      <c r="C42" s="364"/>
      <c r="D42" s="244" t="s">
        <v>142</v>
      </c>
      <c r="E42" s="201">
        <v>0</v>
      </c>
      <c r="F42" s="202" t="s">
        <v>106</v>
      </c>
      <c r="G42" s="14"/>
      <c r="H42" s="14"/>
      <c r="I42" s="14"/>
      <c r="J42" s="14"/>
      <c r="K42" s="33"/>
      <c r="L42" s="14"/>
      <c r="M42" s="14"/>
      <c r="N42" s="14"/>
      <c r="O42" s="14"/>
      <c r="P42" s="14"/>
      <c r="Q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</row>
    <row r="43" spans="1:61" ht="15" customHeight="1" x14ac:dyDescent="0.25">
      <c r="A43" s="14"/>
      <c r="B43" s="183"/>
      <c r="C43" s="359" t="s">
        <v>119</v>
      </c>
      <c r="D43" s="226" t="s">
        <v>152</v>
      </c>
      <c r="E43" s="239">
        <v>0</v>
      </c>
      <c r="F43" s="232" t="s">
        <v>121</v>
      </c>
      <c r="G43" s="14"/>
      <c r="H43" s="14"/>
      <c r="I43" s="14"/>
      <c r="J43" s="14"/>
      <c r="K43" s="33"/>
      <c r="L43" s="14"/>
      <c r="M43" s="14"/>
      <c r="N43" s="14"/>
      <c r="O43" s="14"/>
      <c r="P43" s="14"/>
      <c r="Q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</row>
    <row r="44" spans="1:61" ht="15" customHeight="1" x14ac:dyDescent="0.25">
      <c r="A44" s="14"/>
      <c r="B44" s="183"/>
      <c r="C44" s="360"/>
      <c r="D44" s="243" t="s">
        <v>92</v>
      </c>
      <c r="E44" s="231">
        <v>0</v>
      </c>
      <c r="F44" s="232" t="s">
        <v>122</v>
      </c>
      <c r="G44" s="14"/>
      <c r="H44" s="14"/>
      <c r="I44" s="14"/>
      <c r="J44" s="14"/>
      <c r="K44" s="33"/>
      <c r="L44" s="14"/>
      <c r="M44" s="14"/>
      <c r="N44" s="14"/>
      <c r="O44" s="14"/>
      <c r="P44" s="14"/>
      <c r="Q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</row>
    <row r="45" spans="1:61" ht="15" customHeight="1" x14ac:dyDescent="0.25">
      <c r="A45" s="14"/>
      <c r="B45" s="183"/>
      <c r="C45" s="360"/>
      <c r="D45" s="243" t="s">
        <v>115</v>
      </c>
      <c r="E45" s="208">
        <v>0</v>
      </c>
      <c r="F45" s="232" t="s">
        <v>106</v>
      </c>
      <c r="G45" s="14"/>
      <c r="H45" s="14"/>
      <c r="I45" s="14"/>
      <c r="J45" s="14"/>
      <c r="K45" s="33"/>
      <c r="L45" s="14"/>
      <c r="M45" s="14"/>
      <c r="N45" s="14"/>
      <c r="O45" s="14"/>
      <c r="P45" s="14"/>
      <c r="Q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</row>
    <row r="46" spans="1:61" ht="15" customHeight="1" x14ac:dyDescent="0.25">
      <c r="A46" s="14"/>
      <c r="B46" s="183"/>
      <c r="C46" s="360"/>
      <c r="D46" s="243" t="s">
        <v>116</v>
      </c>
      <c r="E46" s="208">
        <v>0</v>
      </c>
      <c r="F46" s="209" t="s">
        <v>106</v>
      </c>
      <c r="G46" s="14"/>
      <c r="H46" s="14"/>
      <c r="I46" s="14"/>
      <c r="J46" s="14"/>
      <c r="K46" s="33"/>
      <c r="L46" s="14"/>
      <c r="M46" s="14"/>
      <c r="N46" s="14"/>
      <c r="O46" s="14"/>
      <c r="P46" s="14"/>
      <c r="Q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</row>
    <row r="47" spans="1:61" ht="15" customHeight="1" thickBot="1" x14ac:dyDescent="0.3">
      <c r="A47" s="14"/>
      <c r="B47" s="183"/>
      <c r="C47" s="361"/>
      <c r="D47" s="210" t="s">
        <v>117</v>
      </c>
      <c r="E47" s="201">
        <v>0</v>
      </c>
      <c r="F47" s="245" t="s">
        <v>28</v>
      </c>
      <c r="G47" s="14"/>
      <c r="H47" s="14"/>
      <c r="I47" s="14"/>
      <c r="J47" s="14"/>
      <c r="K47" s="33"/>
      <c r="L47" s="14"/>
      <c r="M47" s="14"/>
      <c r="N47" s="14"/>
      <c r="O47" s="14"/>
      <c r="P47" s="14"/>
      <c r="Q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</row>
    <row r="48" spans="1:61" ht="15" customHeight="1" x14ac:dyDescent="0.25">
      <c r="A48" s="14"/>
      <c r="B48" s="184"/>
      <c r="C48" s="367" t="s">
        <v>120</v>
      </c>
      <c r="D48" s="350" t="s">
        <v>118</v>
      </c>
      <c r="E48" s="351"/>
      <c r="F48" s="263" t="s">
        <v>140</v>
      </c>
      <c r="G48" s="14"/>
      <c r="H48" s="14"/>
      <c r="I48" s="14"/>
      <c r="J48" s="14"/>
      <c r="K48" s="33"/>
      <c r="L48" s="14"/>
      <c r="M48" s="14"/>
      <c r="N48" s="14"/>
      <c r="O48" s="14"/>
      <c r="P48" s="14"/>
      <c r="Q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</row>
    <row r="49" spans="1:61" ht="15" customHeight="1" x14ac:dyDescent="0.25">
      <c r="A49" s="14"/>
      <c r="B49" s="184"/>
      <c r="C49" s="368"/>
      <c r="D49" s="207" t="s">
        <v>129</v>
      </c>
      <c r="E49" s="208">
        <v>0</v>
      </c>
      <c r="F49" s="209" t="s">
        <v>106</v>
      </c>
      <c r="G49" s="14"/>
      <c r="H49" s="14"/>
      <c r="I49" s="14"/>
      <c r="J49" s="14"/>
      <c r="K49" s="33"/>
      <c r="L49" s="14"/>
      <c r="M49" s="14"/>
      <c r="N49" s="14"/>
      <c r="O49" s="14"/>
      <c r="P49" s="14"/>
      <c r="Q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</row>
    <row r="50" spans="1:61" ht="15" customHeight="1" thickBot="1" x14ac:dyDescent="0.3">
      <c r="A50" s="14"/>
      <c r="B50" s="184"/>
      <c r="C50" s="369"/>
      <c r="D50" s="210" t="s">
        <v>128</v>
      </c>
      <c r="E50" s="201">
        <v>0</v>
      </c>
      <c r="F50" s="202" t="s">
        <v>28</v>
      </c>
      <c r="G50" s="14"/>
      <c r="H50" s="14"/>
      <c r="I50" s="14"/>
      <c r="J50" s="14"/>
      <c r="K50" s="33"/>
      <c r="L50" s="14"/>
      <c r="M50" s="14"/>
      <c r="N50" s="14"/>
      <c r="O50" s="14"/>
      <c r="P50" s="14"/>
      <c r="Q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</row>
    <row r="51" spans="1:61" ht="15" customHeight="1" x14ac:dyDescent="0.25">
      <c r="A51" s="14"/>
      <c r="B51" s="184"/>
      <c r="C51" s="359" t="s">
        <v>84</v>
      </c>
      <c r="D51" s="280" t="s">
        <v>108</v>
      </c>
      <c r="E51" s="281">
        <v>0</v>
      </c>
      <c r="F51" s="236" t="s">
        <v>111</v>
      </c>
      <c r="G51" s="14"/>
      <c r="H51" s="14"/>
      <c r="I51" s="14"/>
      <c r="J51" s="14"/>
      <c r="K51" s="33"/>
      <c r="L51" s="14"/>
      <c r="M51" s="14"/>
      <c r="N51" s="14"/>
      <c r="O51" s="14"/>
      <c r="P51" s="14"/>
      <c r="Q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9"/>
      <c r="BB51" s="14"/>
      <c r="BC51" s="14"/>
      <c r="BD51" s="14"/>
      <c r="BE51" s="9"/>
      <c r="BF51" s="14"/>
      <c r="BG51" s="14"/>
      <c r="BH51" s="14"/>
      <c r="BI51" s="14"/>
    </row>
    <row r="52" spans="1:61" ht="15" customHeight="1" x14ac:dyDescent="0.25">
      <c r="A52" s="14"/>
      <c r="B52" s="184"/>
      <c r="C52" s="360"/>
      <c r="D52" s="237" t="s">
        <v>107</v>
      </c>
      <c r="E52" s="282">
        <v>0</v>
      </c>
      <c r="F52" s="283" t="s">
        <v>2</v>
      </c>
      <c r="G52" s="14"/>
      <c r="H52" s="14"/>
      <c r="I52" s="14"/>
      <c r="J52" s="14"/>
      <c r="K52" s="33"/>
      <c r="L52" s="14"/>
      <c r="M52" s="14"/>
      <c r="N52" s="14"/>
      <c r="O52" s="14"/>
      <c r="P52" s="14"/>
      <c r="Q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9"/>
      <c r="BB52" s="14"/>
      <c r="BC52" s="14"/>
      <c r="BD52" s="14"/>
      <c r="BE52" s="9"/>
      <c r="BF52" s="14"/>
      <c r="BG52" s="14"/>
      <c r="BH52" s="14"/>
      <c r="BI52" s="14"/>
    </row>
    <row r="53" spans="1:61" ht="15" customHeight="1" x14ac:dyDescent="0.25">
      <c r="A53" s="14"/>
      <c r="B53" s="184"/>
      <c r="C53" s="360"/>
      <c r="D53" s="237" t="s">
        <v>112</v>
      </c>
      <c r="E53" s="238" t="s">
        <v>0</v>
      </c>
      <c r="F53" s="236"/>
      <c r="G53" s="14"/>
      <c r="H53" s="14"/>
      <c r="I53" s="14"/>
      <c r="J53" s="14"/>
      <c r="K53" s="33"/>
      <c r="L53" s="14"/>
      <c r="M53" s="14"/>
      <c r="N53" s="14"/>
      <c r="O53" s="14"/>
      <c r="P53" s="14"/>
      <c r="Q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9"/>
      <c r="BB53" s="14"/>
      <c r="BC53" s="14"/>
      <c r="BD53" s="14"/>
      <c r="BE53" s="9"/>
      <c r="BF53" s="14"/>
      <c r="BG53" s="14"/>
      <c r="BH53" s="14"/>
      <c r="BI53" s="14"/>
    </row>
    <row r="54" spans="1:61" ht="15" customHeight="1" x14ac:dyDescent="0.25">
      <c r="A54" s="14"/>
      <c r="B54" s="184"/>
      <c r="C54" s="360"/>
      <c r="D54" s="280" t="s">
        <v>110</v>
      </c>
      <c r="E54" s="281">
        <v>0</v>
      </c>
      <c r="F54" s="236" t="s">
        <v>111</v>
      </c>
      <c r="G54" s="14"/>
      <c r="H54" s="14"/>
      <c r="I54" s="14"/>
      <c r="J54" s="14"/>
      <c r="K54" s="33"/>
      <c r="L54" s="14"/>
      <c r="M54" s="14"/>
      <c r="N54" s="14"/>
      <c r="O54" s="14"/>
      <c r="P54" s="14"/>
      <c r="Q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9"/>
      <c r="BB54" s="14"/>
      <c r="BC54" s="14"/>
      <c r="BD54" s="14"/>
      <c r="BE54" s="9"/>
      <c r="BF54" s="14"/>
      <c r="BG54" s="14"/>
      <c r="BH54" s="14"/>
      <c r="BI54" s="14"/>
    </row>
    <row r="55" spans="1:61" ht="15" customHeight="1" x14ac:dyDescent="0.25">
      <c r="A55" s="14"/>
      <c r="B55" s="184"/>
      <c r="C55" s="360"/>
      <c r="D55" s="237" t="s">
        <v>109</v>
      </c>
      <c r="E55" s="282">
        <v>0</v>
      </c>
      <c r="F55" s="283" t="s">
        <v>2</v>
      </c>
      <c r="G55" s="14"/>
      <c r="H55" s="14"/>
      <c r="I55" s="14"/>
      <c r="J55" s="14"/>
      <c r="K55" s="33"/>
      <c r="L55" s="14"/>
      <c r="M55" s="153"/>
      <c r="N55" s="153"/>
      <c r="O55" s="153"/>
      <c r="P55" s="153"/>
      <c r="Q55" s="153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9"/>
      <c r="BB55" s="14"/>
      <c r="BC55" s="14"/>
      <c r="BD55" s="14"/>
      <c r="BE55" s="9"/>
      <c r="BF55" s="14"/>
      <c r="BG55" s="14"/>
      <c r="BH55" s="14"/>
      <c r="BI55" s="14"/>
    </row>
    <row r="56" spans="1:61" ht="15" customHeight="1" thickBot="1" x14ac:dyDescent="0.3">
      <c r="A56" s="14"/>
      <c r="B56" s="184"/>
      <c r="C56" s="361"/>
      <c r="D56" s="237" t="s">
        <v>113</v>
      </c>
      <c r="E56" s="238" t="s">
        <v>1</v>
      </c>
      <c r="F56" s="236"/>
      <c r="G56" s="14"/>
      <c r="H56" s="14"/>
      <c r="I56" s="14"/>
      <c r="J56" s="14"/>
      <c r="K56" s="33"/>
      <c r="L56" s="14"/>
      <c r="M56" s="153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9"/>
      <c r="BB56" s="14"/>
      <c r="BC56" s="14"/>
      <c r="BD56" s="14"/>
      <c r="BE56" s="9"/>
      <c r="BF56" s="14"/>
      <c r="BG56" s="14"/>
      <c r="BH56" s="14"/>
      <c r="BI56" s="14"/>
    </row>
    <row r="57" spans="1:61" ht="15" customHeight="1" x14ac:dyDescent="0.25">
      <c r="A57" s="14"/>
      <c r="B57" s="185"/>
      <c r="C57" s="359" t="s">
        <v>69</v>
      </c>
      <c r="D57" s="270" t="s">
        <v>146</v>
      </c>
      <c r="E57" s="271">
        <v>0</v>
      </c>
      <c r="F57" s="272" t="s">
        <v>106</v>
      </c>
      <c r="G57" s="14"/>
      <c r="H57" s="14"/>
      <c r="I57" s="14"/>
      <c r="J57" s="14"/>
      <c r="K57" s="33"/>
      <c r="L57" s="14"/>
      <c r="M57" s="153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9"/>
      <c r="BB57" s="14"/>
      <c r="BC57" s="14"/>
      <c r="BD57" s="14"/>
      <c r="BE57" s="9"/>
      <c r="BF57" s="14"/>
      <c r="BG57" s="14"/>
      <c r="BH57" s="14"/>
      <c r="BI57" s="14"/>
    </row>
    <row r="58" spans="1:61" ht="14.45" customHeight="1" x14ac:dyDescent="0.25">
      <c r="A58" s="14"/>
      <c r="B58" s="14"/>
      <c r="C58" s="360"/>
      <c r="D58" s="243" t="s">
        <v>162</v>
      </c>
      <c r="E58" s="284">
        <v>0</v>
      </c>
      <c r="F58" s="257" t="s">
        <v>163</v>
      </c>
      <c r="G58" s="14"/>
      <c r="H58" s="14"/>
      <c r="I58" s="14"/>
      <c r="J58" s="14"/>
      <c r="K58" s="33"/>
      <c r="L58" s="14"/>
      <c r="M58" s="153"/>
      <c r="N58" s="153"/>
      <c r="O58" s="153"/>
      <c r="P58" s="153"/>
      <c r="Q58" s="153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9"/>
      <c r="BB58" s="14"/>
      <c r="BC58" s="14"/>
      <c r="BD58" s="14"/>
      <c r="BE58" s="9"/>
      <c r="BF58" s="14"/>
      <c r="BG58" s="14"/>
      <c r="BH58" s="14"/>
      <c r="BI58" s="14"/>
    </row>
    <row r="59" spans="1:61" ht="14.45" customHeight="1" x14ac:dyDescent="0.25">
      <c r="A59" s="14"/>
      <c r="B59" s="14"/>
      <c r="C59" s="360"/>
      <c r="D59" s="243" t="s">
        <v>149</v>
      </c>
      <c r="E59" s="208">
        <v>0</v>
      </c>
      <c r="F59" s="257" t="s">
        <v>106</v>
      </c>
      <c r="G59" s="14"/>
      <c r="H59" s="14"/>
      <c r="I59" s="14"/>
      <c r="J59" s="14"/>
      <c r="K59" s="33"/>
      <c r="L59" s="14"/>
      <c r="M59" s="153"/>
      <c r="N59" s="153"/>
      <c r="O59" s="153"/>
      <c r="P59" s="153"/>
      <c r="Q59" s="153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9"/>
      <c r="BB59" s="14"/>
      <c r="BC59" s="14"/>
      <c r="BD59" s="14"/>
      <c r="BE59" s="9"/>
      <c r="BF59" s="14"/>
      <c r="BG59" s="14"/>
      <c r="BH59" s="14"/>
      <c r="BI59" s="14"/>
    </row>
    <row r="60" spans="1:61" x14ac:dyDescent="0.25">
      <c r="A60" s="14"/>
      <c r="B60" s="14"/>
      <c r="C60" s="360"/>
      <c r="D60" s="243" t="s">
        <v>16</v>
      </c>
      <c r="E60" s="231">
        <v>0</v>
      </c>
      <c r="F60" s="257" t="s">
        <v>29</v>
      </c>
      <c r="G60" s="14"/>
      <c r="H60" s="14"/>
      <c r="I60" s="14"/>
      <c r="J60" s="14"/>
      <c r="K60" s="33"/>
      <c r="L60" s="42"/>
      <c r="M60" s="153"/>
      <c r="N60" s="153"/>
      <c r="O60" s="153"/>
      <c r="P60" s="153"/>
      <c r="Q60" s="153"/>
      <c r="T60" s="14"/>
      <c r="U60" s="14"/>
      <c r="V60" s="14"/>
      <c r="W60" s="14"/>
      <c r="X60" s="14"/>
      <c r="Y60" s="14"/>
      <c r="Z60" s="14"/>
      <c r="AA60" s="14"/>
      <c r="AB60" s="42"/>
      <c r="AC60" s="42"/>
      <c r="AD60" s="14"/>
      <c r="AE60" s="14"/>
      <c r="AF60" s="14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14"/>
      <c r="AS60" s="14"/>
      <c r="AT60" s="14"/>
      <c r="AU60" s="14"/>
      <c r="AV60" s="14"/>
      <c r="AW60" s="14"/>
      <c r="AX60" s="14"/>
      <c r="AY60" s="14"/>
      <c r="AZ60" s="42"/>
      <c r="BA60" s="45"/>
      <c r="BB60" s="42"/>
      <c r="BC60" s="42"/>
      <c r="BD60" s="42"/>
      <c r="BE60" s="45"/>
      <c r="BF60" s="42"/>
      <c r="BG60" s="42"/>
      <c r="BH60" s="42"/>
      <c r="BI60" s="42"/>
    </row>
    <row r="61" spans="1:61" x14ac:dyDescent="0.25">
      <c r="A61" s="14"/>
      <c r="B61" s="14"/>
      <c r="C61" s="360"/>
      <c r="D61" s="243" t="s">
        <v>148</v>
      </c>
      <c r="E61" s="208">
        <v>0</v>
      </c>
      <c r="F61" s="257" t="s">
        <v>106</v>
      </c>
      <c r="G61" s="14"/>
      <c r="H61" s="14"/>
      <c r="I61" s="14"/>
      <c r="J61" s="14"/>
      <c r="K61" s="33"/>
      <c r="L61" s="42"/>
      <c r="M61" s="153"/>
      <c r="N61" s="153"/>
      <c r="O61" s="153"/>
      <c r="P61" s="153"/>
      <c r="Q61" s="153"/>
      <c r="T61" s="14"/>
      <c r="U61" s="14"/>
      <c r="V61" s="14"/>
      <c r="W61" s="14"/>
      <c r="X61" s="14"/>
      <c r="Y61" s="14"/>
      <c r="Z61" s="14"/>
      <c r="AA61" s="14"/>
      <c r="AB61" s="42"/>
      <c r="AC61" s="42"/>
      <c r="AD61" s="14"/>
      <c r="AE61" s="14"/>
      <c r="AF61" s="14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14"/>
      <c r="AS61" s="14"/>
      <c r="AT61" s="14"/>
      <c r="AU61" s="14"/>
      <c r="AV61" s="14"/>
      <c r="AW61" s="14"/>
      <c r="AX61" s="14"/>
      <c r="AY61" s="14"/>
      <c r="AZ61" s="42"/>
      <c r="BA61" s="45"/>
      <c r="BB61" s="42"/>
      <c r="BC61" s="42"/>
      <c r="BD61" s="42"/>
      <c r="BE61" s="45"/>
      <c r="BF61" s="42"/>
      <c r="BG61" s="42"/>
      <c r="BH61" s="42"/>
      <c r="BI61" s="42"/>
    </row>
    <row r="62" spans="1:61" x14ac:dyDescent="0.25">
      <c r="A62" s="14"/>
      <c r="B62" s="14"/>
      <c r="C62" s="360"/>
      <c r="D62" s="243" t="s">
        <v>67</v>
      </c>
      <c r="E62" s="258">
        <v>0</v>
      </c>
      <c r="F62" s="257" t="s">
        <v>68</v>
      </c>
      <c r="G62" s="14"/>
      <c r="H62" s="14"/>
      <c r="I62" s="14"/>
      <c r="J62" s="14"/>
      <c r="K62" s="33"/>
      <c r="L62" s="14"/>
      <c r="M62" s="153"/>
      <c r="N62" s="153"/>
      <c r="O62" s="153"/>
      <c r="P62" s="153"/>
      <c r="Q62" s="153"/>
      <c r="T62" s="14"/>
      <c r="U62" s="14"/>
      <c r="V62" s="14"/>
      <c r="W62" s="14"/>
      <c r="X62" s="14"/>
      <c r="Y62" s="14"/>
      <c r="Z62" s="14"/>
      <c r="AA62" s="14"/>
      <c r="AB62" s="42"/>
      <c r="AC62" s="42"/>
      <c r="AD62" s="14"/>
      <c r="AE62" s="14"/>
      <c r="AF62" s="14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14"/>
      <c r="AS62" s="14"/>
      <c r="AT62" s="14"/>
      <c r="AU62" s="14"/>
      <c r="AV62" s="14"/>
      <c r="AW62" s="14"/>
      <c r="AX62" s="14"/>
      <c r="AY62" s="14"/>
      <c r="AZ62" s="42"/>
      <c r="BA62" s="45"/>
      <c r="BB62" s="42"/>
      <c r="BC62" s="42"/>
      <c r="BD62" s="42"/>
      <c r="BE62" s="45"/>
      <c r="BF62" s="42"/>
      <c r="BG62" s="42"/>
      <c r="BH62" s="42"/>
      <c r="BI62" s="42"/>
    </row>
    <row r="63" spans="1:61" x14ac:dyDescent="0.25">
      <c r="A63" s="14"/>
      <c r="B63" s="14"/>
      <c r="C63" s="360"/>
      <c r="D63" s="243" t="s">
        <v>17</v>
      </c>
      <c r="E63" s="208">
        <v>0</v>
      </c>
      <c r="F63" s="257" t="s">
        <v>106</v>
      </c>
      <c r="G63" s="14"/>
      <c r="H63" s="14"/>
      <c r="I63" s="14"/>
      <c r="J63" s="14"/>
      <c r="K63" s="33"/>
      <c r="L63" s="14"/>
      <c r="M63" s="153"/>
      <c r="N63" s="14"/>
      <c r="O63" s="14"/>
      <c r="P63" s="14"/>
      <c r="Q63" s="14"/>
      <c r="T63" s="14"/>
      <c r="U63" s="14"/>
      <c r="V63" s="14"/>
      <c r="W63" s="14"/>
      <c r="X63" s="14"/>
      <c r="Y63" s="14"/>
      <c r="Z63" s="14"/>
      <c r="AA63" s="14"/>
      <c r="AB63" s="42"/>
      <c r="AC63" s="42"/>
      <c r="AD63" s="14"/>
      <c r="AE63" s="14"/>
      <c r="AF63" s="14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14"/>
      <c r="AS63" s="14"/>
      <c r="AT63" s="14"/>
      <c r="AU63" s="14"/>
      <c r="AV63" s="14"/>
      <c r="AW63" s="14"/>
      <c r="AX63" s="14"/>
      <c r="AY63" s="14"/>
      <c r="AZ63" s="42"/>
      <c r="BA63" s="45"/>
      <c r="BB63" s="42"/>
      <c r="BC63" s="42"/>
      <c r="BD63" s="42"/>
      <c r="BE63" s="45"/>
      <c r="BF63" s="42"/>
      <c r="BG63" s="42"/>
      <c r="BH63" s="42"/>
      <c r="BI63" s="42"/>
    </row>
    <row r="64" spans="1:61" x14ac:dyDescent="0.25">
      <c r="A64" s="14"/>
      <c r="B64" s="14"/>
      <c r="C64" s="360"/>
      <c r="D64" s="273" t="s">
        <v>80</v>
      </c>
      <c r="E64" s="231">
        <v>0</v>
      </c>
      <c r="F64" s="209"/>
      <c r="G64" s="14"/>
      <c r="H64" s="14"/>
      <c r="I64" s="14"/>
      <c r="J64" s="14"/>
      <c r="K64" s="33"/>
      <c r="L64" s="14"/>
      <c r="M64" s="153"/>
      <c r="N64" s="14"/>
      <c r="O64" s="14"/>
      <c r="P64" s="14"/>
      <c r="Q64" s="14"/>
      <c r="T64" s="14"/>
      <c r="U64" s="14"/>
      <c r="V64" s="14"/>
      <c r="W64" s="14"/>
      <c r="X64" s="14"/>
      <c r="Y64" s="14"/>
      <c r="Z64" s="14"/>
      <c r="AA64" s="14"/>
      <c r="AB64" s="42"/>
      <c r="AC64" s="42"/>
      <c r="AD64" s="14"/>
      <c r="AE64" s="14"/>
      <c r="AF64" s="14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14"/>
      <c r="AS64" s="14"/>
      <c r="AT64" s="14"/>
      <c r="AU64" s="14"/>
      <c r="AV64" s="14"/>
      <c r="AW64" s="14"/>
      <c r="AX64" s="14"/>
      <c r="AY64" s="14"/>
      <c r="AZ64" s="42"/>
      <c r="BA64" s="45"/>
      <c r="BB64" s="42"/>
      <c r="BC64" s="42"/>
      <c r="BD64" s="42"/>
      <c r="BE64" s="45"/>
      <c r="BF64" s="42"/>
      <c r="BG64" s="42"/>
      <c r="BH64" s="42"/>
      <c r="BI64" s="42"/>
    </row>
    <row r="65" spans="1:61" ht="15.75" thickBot="1" x14ac:dyDescent="0.3">
      <c r="A65" s="14"/>
      <c r="B65" s="14"/>
      <c r="C65" s="361"/>
      <c r="D65" s="244" t="s">
        <v>151</v>
      </c>
      <c r="E65" s="269">
        <v>0</v>
      </c>
      <c r="F65" s="202"/>
      <c r="G65" s="14"/>
      <c r="H65" s="14"/>
      <c r="I65" s="14"/>
      <c r="J65" s="14"/>
      <c r="K65" s="33"/>
      <c r="L65" s="14"/>
      <c r="M65" s="153"/>
      <c r="N65" s="14"/>
      <c r="O65" s="14"/>
      <c r="P65" s="14"/>
      <c r="Q65" s="14"/>
      <c r="T65" s="14"/>
      <c r="U65" s="14"/>
      <c r="V65" s="14"/>
      <c r="W65" s="14"/>
      <c r="X65" s="14"/>
      <c r="Y65" s="14"/>
      <c r="Z65" s="14"/>
      <c r="AA65" s="14"/>
      <c r="AB65" s="42"/>
      <c r="AC65" s="42"/>
      <c r="AD65" s="14"/>
      <c r="AE65" s="14"/>
      <c r="AF65" s="14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14"/>
      <c r="AS65" s="14"/>
      <c r="AT65" s="14"/>
      <c r="AU65" s="14"/>
      <c r="AV65" s="14"/>
      <c r="AW65" s="14"/>
      <c r="AX65" s="14"/>
      <c r="AY65" s="14"/>
      <c r="AZ65" s="42"/>
      <c r="BA65" s="45"/>
      <c r="BB65" s="42"/>
      <c r="BC65" s="42"/>
      <c r="BD65" s="42"/>
      <c r="BE65" s="45"/>
      <c r="BF65" s="42"/>
      <c r="BG65" s="42"/>
      <c r="BH65" s="42"/>
      <c r="BI65" s="42"/>
    </row>
    <row r="66" spans="1:61" ht="15.75" thickBot="1" x14ac:dyDescent="0.3">
      <c r="A66" s="14"/>
      <c r="B66" s="14"/>
      <c r="C66" s="35"/>
      <c r="D66" s="14"/>
      <c r="E66" s="14"/>
      <c r="F66" s="14"/>
      <c r="G66" s="14"/>
      <c r="H66" s="14"/>
      <c r="I66" s="14"/>
      <c r="J66" s="14"/>
      <c r="K66" s="33"/>
      <c r="L66" s="14"/>
      <c r="M66" s="153"/>
      <c r="N66" s="14"/>
      <c r="O66" s="14"/>
      <c r="P66" s="14"/>
      <c r="Q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</row>
    <row r="67" spans="1:61" ht="15.75" thickBot="1" x14ac:dyDescent="0.3">
      <c r="A67" s="9"/>
      <c r="B67" s="14"/>
      <c r="C67" s="35"/>
      <c r="D67" s="57" t="s">
        <v>27</v>
      </c>
      <c r="E67" s="56" t="s">
        <v>26</v>
      </c>
      <c r="F67" s="56" t="s">
        <v>25</v>
      </c>
      <c r="G67" s="14"/>
      <c r="H67" s="14"/>
      <c r="I67" s="14"/>
      <c r="J67" s="14"/>
      <c r="K67" s="33"/>
      <c r="L67" s="14"/>
      <c r="M67" s="14"/>
      <c r="N67" s="14"/>
      <c r="O67" s="14"/>
      <c r="P67" s="14"/>
      <c r="Q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</row>
    <row r="68" spans="1:61" x14ac:dyDescent="0.25">
      <c r="A68" s="9"/>
      <c r="B68" s="14"/>
      <c r="C68" s="35"/>
      <c r="D68" s="44" t="s">
        <v>24</v>
      </c>
      <c r="E68" s="48" t="e">
        <f>E72/E15</f>
        <v>#DIV/0!</v>
      </c>
      <c r="F68" s="52"/>
      <c r="G68" s="14"/>
      <c r="H68" s="14"/>
      <c r="I68" s="14"/>
      <c r="J68" s="14"/>
      <c r="K68" s="33"/>
      <c r="L68" s="14"/>
      <c r="M68" s="14"/>
      <c r="N68" s="14"/>
      <c r="O68" s="14"/>
      <c r="P68" s="14"/>
      <c r="Q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</row>
    <row r="69" spans="1:61" x14ac:dyDescent="0.25">
      <c r="A69" s="9"/>
      <c r="B69" s="14"/>
      <c r="C69" s="35"/>
      <c r="D69" s="39" t="s">
        <v>23</v>
      </c>
      <c r="E69" s="43" t="e">
        <f>E72/E16</f>
        <v>#DIV/0!</v>
      </c>
      <c r="F69" s="52"/>
      <c r="G69" s="14"/>
      <c r="H69" s="14"/>
      <c r="I69" s="14"/>
      <c r="J69" s="14"/>
      <c r="K69" s="33"/>
      <c r="L69" s="14"/>
      <c r="M69" s="14"/>
      <c r="N69" s="14"/>
      <c r="O69" s="14"/>
      <c r="P69" s="14"/>
      <c r="Q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</row>
    <row r="70" spans="1:61" x14ac:dyDescent="0.25">
      <c r="A70" s="9"/>
      <c r="B70" s="14"/>
      <c r="C70" s="35"/>
      <c r="D70" s="39" t="s">
        <v>22</v>
      </c>
      <c r="E70" s="53" t="str">
        <f>IFERROR(E72/E20, "n/a")</f>
        <v>n/a</v>
      </c>
      <c r="F70" s="55"/>
      <c r="G70" s="14"/>
      <c r="H70" s="14"/>
      <c r="I70" s="14"/>
      <c r="J70" s="14"/>
      <c r="K70" s="33"/>
      <c r="L70" s="14"/>
      <c r="M70" s="14"/>
      <c r="N70" s="14"/>
      <c r="O70" s="14"/>
      <c r="P70" s="14"/>
      <c r="Q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</row>
    <row r="71" spans="1:61" x14ac:dyDescent="0.25">
      <c r="A71" s="9"/>
      <c r="B71" s="14"/>
      <c r="C71" s="35"/>
      <c r="D71" s="54" t="s">
        <v>21</v>
      </c>
      <c r="E71" s="53" t="e">
        <f>E77/E16</f>
        <v>#DIV/0!</v>
      </c>
      <c r="F71" s="52"/>
      <c r="G71" s="14"/>
      <c r="H71" s="14"/>
      <c r="I71" s="14"/>
      <c r="J71" s="14"/>
      <c r="K71" s="33"/>
      <c r="L71" s="14"/>
      <c r="M71" s="14"/>
      <c r="N71" s="14"/>
      <c r="O71" s="14"/>
      <c r="P71" s="14"/>
      <c r="Q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</row>
    <row r="72" spans="1:61" ht="15.75" thickBot="1" x14ac:dyDescent="0.3">
      <c r="A72" s="9"/>
      <c r="B72" s="14"/>
      <c r="C72" s="35"/>
      <c r="D72" s="44" t="s">
        <v>20</v>
      </c>
      <c r="E72" s="38">
        <f>GC!D9</f>
        <v>0</v>
      </c>
      <c r="F72" s="37"/>
      <c r="G72" s="14"/>
      <c r="H72" s="14"/>
      <c r="I72" s="14"/>
      <c r="J72" s="14"/>
      <c r="K72" s="33"/>
      <c r="L72" s="14"/>
      <c r="M72" s="14"/>
      <c r="N72" s="14"/>
      <c r="O72" s="14"/>
      <c r="P72" s="14"/>
      <c r="Q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</row>
    <row r="73" spans="1:61" x14ac:dyDescent="0.25">
      <c r="A73" s="9"/>
      <c r="B73" s="14"/>
      <c r="C73" s="359" t="s">
        <v>19</v>
      </c>
      <c r="D73" s="226" t="s">
        <v>82</v>
      </c>
      <c r="E73" s="227">
        <v>0</v>
      </c>
      <c r="F73" s="233"/>
      <c r="G73" s="14"/>
      <c r="H73" s="14"/>
      <c r="I73" s="14"/>
      <c r="J73" s="14"/>
      <c r="K73" s="33"/>
      <c r="L73" s="14"/>
      <c r="M73" s="14"/>
      <c r="N73" s="14"/>
      <c r="O73" s="14"/>
      <c r="P73" s="14"/>
      <c r="Q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</row>
    <row r="74" spans="1:61" x14ac:dyDescent="0.25">
      <c r="A74" s="9"/>
      <c r="B74" s="14"/>
      <c r="C74" s="360"/>
      <c r="D74" s="226" t="s">
        <v>81</v>
      </c>
      <c r="E74" s="227">
        <v>0</v>
      </c>
      <c r="F74" s="233"/>
      <c r="G74" s="14"/>
      <c r="H74" s="14"/>
      <c r="I74" s="14"/>
      <c r="J74" s="14"/>
      <c r="K74" s="33"/>
      <c r="L74" s="14"/>
      <c r="M74" s="14"/>
      <c r="N74" s="14"/>
      <c r="O74" s="14"/>
      <c r="P74" s="14"/>
      <c r="Q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</row>
    <row r="75" spans="1:61" x14ac:dyDescent="0.25">
      <c r="A75" s="9"/>
      <c r="B75" s="14"/>
      <c r="C75" s="360"/>
      <c r="D75" s="226" t="s">
        <v>83</v>
      </c>
      <c r="E75" s="227">
        <v>0</v>
      </c>
      <c r="F75" s="233"/>
      <c r="G75" s="14"/>
      <c r="H75" s="14"/>
      <c r="I75" s="14"/>
      <c r="J75" s="14"/>
      <c r="K75" s="33"/>
      <c r="L75" s="14"/>
      <c r="M75" s="14"/>
      <c r="N75" s="14"/>
      <c r="O75" s="14"/>
      <c r="P75" s="14"/>
      <c r="Q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</row>
    <row r="76" spans="1:61" ht="15.75" thickBot="1" x14ac:dyDescent="0.3">
      <c r="A76" s="9"/>
      <c r="B76" s="14"/>
      <c r="C76" s="360"/>
      <c r="D76" s="226" t="s">
        <v>132</v>
      </c>
      <c r="E76" s="227">
        <v>0</v>
      </c>
      <c r="F76" s="233"/>
      <c r="G76" s="14"/>
      <c r="H76" s="14"/>
      <c r="I76" s="14"/>
      <c r="J76" s="14"/>
      <c r="K76" s="33"/>
      <c r="L76" s="14"/>
      <c r="M76" s="80"/>
      <c r="N76" s="14"/>
      <c r="O76" s="80"/>
      <c r="P76" s="80"/>
      <c r="Q76" s="80"/>
      <c r="R76" s="80"/>
      <c r="S76" s="80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</row>
    <row r="77" spans="1:61" ht="15.75" thickBot="1" x14ac:dyDescent="0.3">
      <c r="A77" s="51"/>
      <c r="B77" s="14"/>
      <c r="C77" s="98"/>
      <c r="D77" s="234" t="s">
        <v>18</v>
      </c>
      <c r="E77" s="235">
        <f>E72-SUM(E73:E76)</f>
        <v>0</v>
      </c>
      <c r="F77" s="41"/>
      <c r="G77" s="14"/>
      <c r="K77" s="33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</row>
    <row r="78" spans="1:61" ht="14.25" customHeight="1" x14ac:dyDescent="0.25">
      <c r="A78" s="9"/>
      <c r="B78" s="14"/>
      <c r="C78" s="362" t="s">
        <v>72</v>
      </c>
      <c r="D78" s="39" t="s">
        <v>146</v>
      </c>
      <c r="E78" s="260">
        <f>E57</f>
        <v>0</v>
      </c>
      <c r="F78" s="41"/>
      <c r="G78" s="14"/>
      <c r="K78" s="33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</row>
    <row r="79" spans="1:61" ht="15" customHeight="1" x14ac:dyDescent="0.25">
      <c r="A79" s="9"/>
      <c r="B79" s="14"/>
      <c r="C79" s="363"/>
      <c r="D79" s="39" t="s">
        <v>162</v>
      </c>
      <c r="E79" s="260">
        <f>E58*E72</f>
        <v>0</v>
      </c>
      <c r="F79" s="41"/>
      <c r="G79" s="14"/>
      <c r="K79" s="33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</row>
    <row r="80" spans="1:61" ht="15" customHeight="1" x14ac:dyDescent="0.25">
      <c r="A80" s="9"/>
      <c r="B80" s="14"/>
      <c r="C80" s="363"/>
      <c r="D80" s="39" t="s">
        <v>149</v>
      </c>
      <c r="E80" s="260">
        <f>E59</f>
        <v>0</v>
      </c>
      <c r="F80" s="41"/>
      <c r="G80" s="14"/>
      <c r="K80" s="33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</row>
    <row r="81" spans="1:61" ht="15" customHeight="1" x14ac:dyDescent="0.25">
      <c r="A81" s="9"/>
      <c r="B81" s="14"/>
      <c r="C81" s="363"/>
      <c r="D81" s="39" t="s">
        <v>16</v>
      </c>
      <c r="E81" s="260">
        <f>E60*E72</f>
        <v>0</v>
      </c>
      <c r="F81" s="41"/>
      <c r="G81" s="14"/>
      <c r="K81" s="33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</row>
    <row r="82" spans="1:61" ht="15" customHeight="1" x14ac:dyDescent="0.25">
      <c r="A82" s="9"/>
      <c r="B82" s="14"/>
      <c r="C82" s="363"/>
      <c r="D82" s="39" t="s">
        <v>148</v>
      </c>
      <c r="E82" s="260">
        <f>E61</f>
        <v>0</v>
      </c>
      <c r="F82" s="41" t="b">
        <f>I123-J123=E82</f>
        <v>1</v>
      </c>
      <c r="G82" s="14"/>
      <c r="H82" s="14"/>
      <c r="I82" s="14"/>
      <c r="J82" s="14"/>
      <c r="K82" s="121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</row>
    <row r="83" spans="1:61" ht="15" customHeight="1" x14ac:dyDescent="0.25">
      <c r="A83" s="9"/>
      <c r="B83" s="14"/>
      <c r="C83" s="363"/>
      <c r="D83" s="39" t="s">
        <v>67</v>
      </c>
      <c r="E83" s="260">
        <f>E62*E17</f>
        <v>0</v>
      </c>
      <c r="F83" s="41"/>
      <c r="G83" s="14"/>
      <c r="H83" s="14"/>
      <c r="I83" s="14"/>
      <c r="J83" s="14"/>
      <c r="K83" s="33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</row>
    <row r="84" spans="1:61" ht="15" customHeight="1" x14ac:dyDescent="0.25">
      <c r="A84" s="9"/>
      <c r="B84" s="14"/>
      <c r="C84" s="363"/>
      <c r="D84" s="39" t="s">
        <v>17</v>
      </c>
      <c r="E84" s="260">
        <f>E63</f>
        <v>0</v>
      </c>
      <c r="F84" s="41"/>
      <c r="G84" s="14"/>
      <c r="H84" s="14"/>
      <c r="I84" s="14"/>
      <c r="J84" s="14"/>
      <c r="K84" s="33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</row>
    <row r="85" spans="1:61" ht="15" customHeight="1" thickBot="1" x14ac:dyDescent="0.3">
      <c r="A85" s="9"/>
      <c r="B85" s="14"/>
      <c r="C85" s="363"/>
      <c r="D85" s="39" t="s">
        <v>79</v>
      </c>
      <c r="E85" s="260">
        <f>SUM(E78:E79,E81:E84)*$E$64</f>
        <v>0</v>
      </c>
      <c r="F85" s="41"/>
      <c r="G85" s="14"/>
      <c r="H85" s="14"/>
      <c r="I85" s="14"/>
      <c r="J85" s="14"/>
      <c r="K85" s="33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</row>
    <row r="86" spans="1:61" ht="15" customHeight="1" thickBot="1" x14ac:dyDescent="0.3">
      <c r="A86" s="9"/>
      <c r="B86" s="14"/>
      <c r="C86" s="364"/>
      <c r="D86" s="39" t="s">
        <v>151</v>
      </c>
      <c r="E86" s="260">
        <f>E65*SUM(E77:E85)</f>
        <v>0</v>
      </c>
      <c r="F86" s="41"/>
      <c r="G86" s="14"/>
      <c r="H86" s="314" t="s">
        <v>164</v>
      </c>
      <c r="I86" s="315"/>
      <c r="J86" s="14"/>
      <c r="K86" s="33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</row>
    <row r="87" spans="1:61" ht="15.75" thickBot="1" x14ac:dyDescent="0.3">
      <c r="A87" s="9"/>
      <c r="B87" s="14"/>
      <c r="C87" s="50"/>
      <c r="D87" s="44" t="s">
        <v>15</v>
      </c>
      <c r="E87" s="49">
        <f>SUM(E77:E86)</f>
        <v>0</v>
      </c>
      <c r="F87" s="41" t="e">
        <f>ROUND(E94-SUM(E98:E115)-E87,5)=ROUND(E92,5)</f>
        <v>#DIV/0!</v>
      </c>
      <c r="G87" s="14"/>
      <c r="H87" s="316" t="s">
        <v>170</v>
      </c>
      <c r="I87" s="317"/>
      <c r="J87" s="14"/>
      <c r="K87" s="33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</row>
    <row r="88" spans="1:61" ht="15.75" thickBot="1" x14ac:dyDescent="0.3">
      <c r="A88" s="9"/>
      <c r="B88" s="14"/>
      <c r="C88" s="35"/>
      <c r="D88" s="39" t="s">
        <v>14</v>
      </c>
      <c r="E88" s="109">
        <f>IFERROR(E87/E15,0)</f>
        <v>0</v>
      </c>
      <c r="F88" s="99"/>
      <c r="G88" s="14"/>
      <c r="H88" s="14"/>
      <c r="I88" s="14"/>
      <c r="J88" s="14"/>
      <c r="K88" s="33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</row>
    <row r="89" spans="1:61" ht="15.75" thickBot="1" x14ac:dyDescent="0.3">
      <c r="A89" s="9"/>
      <c r="B89" s="14"/>
      <c r="C89" s="362" t="s">
        <v>73</v>
      </c>
      <c r="D89" s="110" t="str">
        <f>"XIRR (after tax"&amp;IF($E$115&lt;&gt;0," and carry)",")")</f>
        <v>XIRR (after tax)</v>
      </c>
      <c r="E89" s="111">
        <f>AW123</f>
        <v>-1</v>
      </c>
      <c r="F89" s="112"/>
      <c r="G89" s="14"/>
      <c r="H89" s="57" t="s">
        <v>165</v>
      </c>
      <c r="I89" s="56" t="s">
        <v>26</v>
      </c>
      <c r="J89" s="14"/>
      <c r="K89" s="352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</row>
    <row r="90" spans="1:61" ht="15" customHeight="1" x14ac:dyDescent="0.25">
      <c r="A90" s="9"/>
      <c r="B90" s="14"/>
      <c r="C90" s="363"/>
      <c r="D90" s="113" t="str">
        <f>"Net Break Event Point (after tax"&amp;IF($E$115&lt;&gt;0," and carry)",")")</f>
        <v>Net Break Event Point (after tax)</v>
      </c>
      <c r="E90" s="114" t="str">
        <f>IFERROR(MATCH(1,AX126:AX245,0),"-")</f>
        <v>-</v>
      </c>
      <c r="F90" s="115" t="s">
        <v>13</v>
      </c>
      <c r="G90" s="14"/>
      <c r="H90" s="285" t="s">
        <v>166</v>
      </c>
      <c r="I90" s="286">
        <v>2025</v>
      </c>
      <c r="J90" s="14"/>
      <c r="K90" s="33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</row>
    <row r="91" spans="1:61" x14ac:dyDescent="0.25">
      <c r="A91" s="9"/>
      <c r="B91" s="14"/>
      <c r="C91" s="363"/>
      <c r="D91" s="100" t="str">
        <f>"Net Multiple (after tax"&amp;IF($E$115&lt;&gt;0," and carry)",")")</f>
        <v>Net Multiple (after tax)</v>
      </c>
      <c r="E91" s="215" t="e">
        <f>E92/E87+1</f>
        <v>#NUM!</v>
      </c>
      <c r="F91" s="115"/>
      <c r="G91" s="14"/>
      <c r="H91" s="287" t="s">
        <v>167</v>
      </c>
      <c r="I91" s="288">
        <f>I92+I95</f>
        <v>0</v>
      </c>
      <c r="J91" s="14"/>
      <c r="K91" s="353"/>
      <c r="L91" s="9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28"/>
      <c r="AC91" s="9"/>
      <c r="AD91" s="14"/>
      <c r="AE91" s="14"/>
      <c r="AF91" s="14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14"/>
      <c r="AR91" s="14"/>
      <c r="AS91" s="14"/>
      <c r="AT91" s="14"/>
      <c r="AU91" s="14"/>
      <c r="AV91" s="14"/>
      <c r="AW91" s="14"/>
      <c r="AX91" s="14"/>
      <c r="AY91" s="14"/>
      <c r="AZ91" s="28"/>
      <c r="BA91" s="9"/>
      <c r="BB91" s="14"/>
      <c r="BC91" s="14"/>
      <c r="BD91" s="28"/>
      <c r="BE91" s="9"/>
      <c r="BF91" s="14"/>
      <c r="BG91" s="14"/>
      <c r="BH91" s="28"/>
      <c r="BI91" s="14"/>
    </row>
    <row r="92" spans="1:61" x14ac:dyDescent="0.25">
      <c r="A92" s="36"/>
      <c r="B92" s="14"/>
      <c r="C92" s="363"/>
      <c r="D92" s="103" t="str">
        <f>"Net Profit (after tax"&amp;IF($E$115&lt;&gt;0," and carry)",")")</f>
        <v>Net Profit (after tax)</v>
      </c>
      <c r="E92" s="104" t="e">
        <f>AV123</f>
        <v>#NUM!</v>
      </c>
      <c r="F92" s="116" t="e">
        <f>ROUND(E93-E92,0)=ROUND(E87,0)</f>
        <v>#DIV/0!</v>
      </c>
      <c r="G92" s="14"/>
      <c r="H92" s="306" t="s">
        <v>168</v>
      </c>
      <c r="I92" s="307">
        <v>0</v>
      </c>
      <c r="J92" s="122"/>
      <c r="K92" s="33"/>
      <c r="L92" s="9"/>
      <c r="M92" s="14"/>
      <c r="N92" s="14"/>
      <c r="O92" s="14"/>
      <c r="P92" s="14"/>
      <c r="Q92" s="14"/>
      <c r="R92" s="32"/>
      <c r="S92" s="9"/>
      <c r="T92" s="14"/>
      <c r="U92" s="14"/>
      <c r="V92" s="14"/>
      <c r="W92" s="14"/>
      <c r="X92" s="14"/>
      <c r="Y92" s="14"/>
      <c r="Z92" s="14"/>
      <c r="AA92" s="14"/>
      <c r="AB92" s="28"/>
      <c r="AC92" s="9"/>
      <c r="AD92" s="14"/>
      <c r="AE92" s="14"/>
      <c r="AF92" s="14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14"/>
      <c r="AR92" s="14"/>
      <c r="AS92" s="14"/>
      <c r="AT92" s="14"/>
      <c r="AU92" s="14"/>
      <c r="AV92" s="14"/>
      <c r="AW92" s="14"/>
      <c r="AX92" s="14"/>
      <c r="AY92" s="14"/>
      <c r="AZ92" s="28"/>
      <c r="BA92" s="9"/>
      <c r="BB92" s="14"/>
      <c r="BC92" s="14"/>
      <c r="BD92" s="28"/>
      <c r="BE92" s="9"/>
      <c r="BF92" s="14"/>
      <c r="BG92" s="14"/>
      <c r="BH92" s="28"/>
      <c r="BI92" s="14"/>
    </row>
    <row r="93" spans="1:61" ht="15" customHeight="1" x14ac:dyDescent="0.25">
      <c r="A93" s="9"/>
      <c r="B93" s="14"/>
      <c r="C93" s="363"/>
      <c r="D93" s="102" t="str">
        <f>"Net Collections (after tax"&amp;IF($E$115&lt;&gt;0," and carry)",")")</f>
        <v>Net Collections (after tax)</v>
      </c>
      <c r="E93" s="105" t="e">
        <f>E94-SUM(E98:E115)</f>
        <v>#DIV/0!</v>
      </c>
      <c r="F93" s="101" t="e">
        <f>ROUND(E93,2)=ROUND(SUM(AV126:AV245),2)</f>
        <v>#DIV/0!</v>
      </c>
      <c r="G93" s="14"/>
      <c r="H93" s="308" t="str">
        <f>"New AMF "&amp;I90</f>
        <v>New AMF 2025</v>
      </c>
      <c r="I93" s="309">
        <v>0</v>
      </c>
      <c r="J93" s="14"/>
      <c r="K93" s="33"/>
      <c r="L93" s="154"/>
      <c r="M93" s="122"/>
      <c r="N93" s="14"/>
      <c r="O93" s="14"/>
      <c r="P93" s="14"/>
      <c r="Q93" s="14"/>
      <c r="R93" s="40"/>
      <c r="S93" s="9"/>
      <c r="T93" s="14"/>
      <c r="U93" s="14"/>
      <c r="V93" s="14"/>
      <c r="W93" s="14"/>
      <c r="X93" s="14"/>
      <c r="Y93" s="14"/>
      <c r="Z93" s="14"/>
      <c r="AA93" s="14"/>
      <c r="AB93" s="28"/>
      <c r="AC93" s="9"/>
      <c r="AD93" s="14"/>
      <c r="AE93" s="14"/>
      <c r="AF93" s="14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14"/>
      <c r="AR93" s="14"/>
      <c r="AS93" s="14"/>
      <c r="AT93" s="14"/>
      <c r="AU93" s="14"/>
      <c r="AV93" s="14"/>
      <c r="AW93" s="14"/>
      <c r="AX93" s="14"/>
      <c r="AY93" s="14"/>
      <c r="AZ93" s="28"/>
      <c r="BA93" s="9"/>
      <c r="BB93" s="14"/>
      <c r="BC93" s="14"/>
      <c r="BD93" s="28"/>
      <c r="BE93" s="9"/>
      <c r="BF93" s="14"/>
      <c r="BG93" s="14"/>
      <c r="BH93" s="28"/>
      <c r="BI93" s="14"/>
    </row>
    <row r="94" spans="1:61" ht="15" customHeight="1" x14ac:dyDescent="0.25">
      <c r="A94" s="9"/>
      <c r="B94" s="42"/>
      <c r="C94" s="363"/>
      <c r="D94" s="102" t="s">
        <v>53</v>
      </c>
      <c r="E94" s="105">
        <f>SUM(E116:E118)</f>
        <v>0</v>
      </c>
      <c r="F94" s="101" t="e">
        <f>TEXT(E94/$E$20-1,"0,0%")&amp;" Cut to BMV"</f>
        <v>#DIV/0!</v>
      </c>
      <c r="G94" s="14"/>
      <c r="H94" s="67" t="str">
        <f>"APSI fees "&amp;I90</f>
        <v>APSI fees 2025</v>
      </c>
      <c r="I94" s="66">
        <f>I86+I87</f>
        <v>0</v>
      </c>
      <c r="J94" s="312"/>
      <c r="K94" s="121"/>
      <c r="L94" s="9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28"/>
      <c r="AC94" s="9"/>
      <c r="AD94" s="14"/>
      <c r="AE94" s="14"/>
      <c r="AF94" s="14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14"/>
      <c r="AR94" s="14"/>
      <c r="AS94" s="14"/>
      <c r="AT94" s="14"/>
      <c r="AU94" s="14"/>
      <c r="AV94" s="14"/>
      <c r="AW94" s="14"/>
      <c r="AX94" s="14"/>
      <c r="AY94" s="14"/>
      <c r="AZ94" s="28"/>
      <c r="BA94" s="9"/>
      <c r="BB94" s="14"/>
      <c r="BC94" s="14"/>
      <c r="BD94" s="28"/>
      <c r="BE94" s="9"/>
      <c r="BF94" s="14"/>
      <c r="BG94" s="14"/>
      <c r="BH94" s="28"/>
      <c r="BI94" s="14"/>
    </row>
    <row r="95" spans="1:61" ht="15" customHeight="1" thickBot="1" x14ac:dyDescent="0.3">
      <c r="A95" s="9"/>
      <c r="B95" s="42"/>
      <c r="C95" s="363"/>
      <c r="D95" s="102" t="s">
        <v>131</v>
      </c>
      <c r="E95" s="106" t="e">
        <f>E94/E87</f>
        <v>#DIV/0!</v>
      </c>
      <c r="F95" s="101"/>
      <c r="G95" s="14"/>
      <c r="H95" s="64" t="s">
        <v>169</v>
      </c>
      <c r="I95" s="63">
        <f>I86+I87</f>
        <v>0</v>
      </c>
      <c r="J95" s="313"/>
      <c r="K95" s="121"/>
      <c r="L95" s="9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28"/>
      <c r="AC95" s="9"/>
      <c r="AD95" s="14"/>
      <c r="AE95" s="14"/>
      <c r="AF95" s="14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14"/>
      <c r="AR95" s="14"/>
      <c r="AS95" s="14"/>
      <c r="AT95" s="14"/>
      <c r="AU95" s="14"/>
      <c r="AV95" s="14"/>
      <c r="AW95" s="14"/>
      <c r="AX95" s="14"/>
      <c r="AY95" s="14"/>
      <c r="AZ95" s="28"/>
      <c r="BA95" s="9"/>
      <c r="BB95" s="14"/>
      <c r="BC95" s="14"/>
      <c r="BD95" s="28"/>
      <c r="BE95" s="9"/>
      <c r="BF95" s="14"/>
      <c r="BG95" s="14"/>
      <c r="BH95" s="28"/>
      <c r="BI95" s="14"/>
    </row>
    <row r="96" spans="1:61" ht="15" customHeight="1" x14ac:dyDescent="0.25">
      <c r="A96" s="9"/>
      <c r="B96" s="42"/>
      <c r="C96" s="363"/>
      <c r="D96" s="102" t="s">
        <v>136</v>
      </c>
      <c r="E96" s="107" t="e">
        <f>SUMPRODUCT(H126:H245,C126:C245)/H123</f>
        <v>#DIV/0!</v>
      </c>
      <c r="F96" s="108" t="s">
        <v>13</v>
      </c>
      <c r="G96" s="14"/>
      <c r="H96" s="289"/>
      <c r="I96" s="289"/>
      <c r="J96" s="216"/>
      <c r="K96" s="121"/>
      <c r="L96" s="9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28"/>
      <c r="AC96" s="9"/>
      <c r="AD96" s="14"/>
      <c r="AE96" s="14"/>
      <c r="AF96" s="14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14"/>
      <c r="AR96" s="14"/>
      <c r="AS96" s="14"/>
      <c r="AT96" s="14"/>
      <c r="AU96" s="14"/>
      <c r="AV96" s="14"/>
      <c r="AW96" s="14"/>
      <c r="AX96" s="14"/>
      <c r="AY96" s="14"/>
      <c r="AZ96" s="28"/>
      <c r="BA96" s="9"/>
      <c r="BB96" s="14"/>
      <c r="BC96" s="14"/>
      <c r="BD96" s="28"/>
      <c r="BE96" s="9"/>
      <c r="BF96" s="14"/>
      <c r="BG96" s="14"/>
      <c r="BH96" s="28"/>
      <c r="BI96" s="14"/>
    </row>
    <row r="97" spans="1:61" ht="15" customHeight="1" x14ac:dyDescent="0.25">
      <c r="A97" s="9"/>
      <c r="B97" s="42"/>
      <c r="C97" s="363"/>
      <c r="D97" s="204" t="s">
        <v>135</v>
      </c>
      <c r="E97" s="205">
        <f>IFERROR(E94/E15,0)</f>
        <v>0</v>
      </c>
      <c r="F97" s="206"/>
      <c r="G97" s="14"/>
      <c r="H97" s="289"/>
      <c r="I97" s="289"/>
      <c r="J97" s="93"/>
      <c r="K97" s="121"/>
      <c r="L97" s="9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28"/>
      <c r="AC97" s="9"/>
      <c r="AD97" s="14"/>
      <c r="AE97" s="14"/>
      <c r="AF97" s="14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14"/>
      <c r="AR97" s="14"/>
      <c r="AS97" s="14"/>
      <c r="AT97" s="14"/>
      <c r="AU97" s="14"/>
      <c r="AV97" s="14"/>
      <c r="AW97" s="14"/>
      <c r="AX97" s="14"/>
      <c r="AY97" s="14"/>
      <c r="AZ97" s="28"/>
      <c r="BA97" s="9"/>
      <c r="BB97" s="14"/>
      <c r="BC97" s="14"/>
      <c r="BD97" s="28"/>
      <c r="BE97" s="9"/>
      <c r="BF97" s="14"/>
      <c r="BG97" s="14"/>
      <c r="BH97" s="28"/>
      <c r="BI97" s="14"/>
    </row>
    <row r="98" spans="1:61" ht="15" customHeight="1" x14ac:dyDescent="0.25">
      <c r="A98" s="9"/>
      <c r="B98" s="42"/>
      <c r="C98" s="363"/>
      <c r="D98" s="102" t="s">
        <v>157</v>
      </c>
      <c r="E98" s="203">
        <f>J123</f>
        <v>0</v>
      </c>
      <c r="F98" s="101" t="e">
        <f>ROUND((E98+E82)/E94,5)=E25</f>
        <v>#DIV/0!</v>
      </c>
      <c r="G98" s="14"/>
      <c r="H98" s="289"/>
      <c r="I98" s="289"/>
      <c r="J98" s="14"/>
      <c r="K98" s="33"/>
      <c r="L98" s="9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28"/>
      <c r="AC98" s="9"/>
      <c r="AD98" s="14"/>
      <c r="AE98" s="14"/>
      <c r="AF98" s="14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14"/>
      <c r="AR98" s="14"/>
      <c r="AS98" s="14"/>
      <c r="AT98" s="14"/>
      <c r="AU98" s="14"/>
      <c r="AV98" s="14"/>
      <c r="AW98" s="14"/>
      <c r="AX98" s="14"/>
      <c r="AY98" s="14"/>
      <c r="AZ98" s="28"/>
      <c r="BA98" s="9"/>
      <c r="BB98" s="14"/>
      <c r="BC98" s="14"/>
      <c r="BD98" s="28"/>
      <c r="BE98" s="9"/>
      <c r="BF98" s="14"/>
      <c r="BG98" s="14"/>
      <c r="BH98" s="28"/>
      <c r="BI98" s="14"/>
    </row>
    <row r="99" spans="1:61" ht="15" customHeight="1" x14ac:dyDescent="0.25">
      <c r="A99" s="9"/>
      <c r="B99" s="42"/>
      <c r="C99" s="363"/>
      <c r="D99" s="102" t="s">
        <v>8</v>
      </c>
      <c r="E99" s="105" t="e">
        <f>K123</f>
        <v>#DIV/0!</v>
      </c>
      <c r="F99" s="182" t="e">
        <f>IF(E99=0,"TRUE",ROUND(E99/SUMIF(BI126:BI245,"&lt;&gt;"&amp;0,H126:H245),5)=ROUND(E27,5))</f>
        <v>#DIV/0!</v>
      </c>
      <c r="G99" s="14"/>
      <c r="H99" s="290"/>
      <c r="I99" s="291"/>
      <c r="J99" s="217"/>
      <c r="K99" s="33"/>
      <c r="L99" s="9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28"/>
      <c r="AC99" s="9"/>
      <c r="AD99" s="14"/>
      <c r="AE99" s="14"/>
      <c r="AF99" s="14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14"/>
      <c r="AR99" s="14"/>
      <c r="AS99" s="14"/>
      <c r="AT99" s="14"/>
      <c r="AU99" s="14"/>
      <c r="AV99" s="14"/>
      <c r="AW99" s="14"/>
      <c r="AX99" s="14"/>
      <c r="AY99" s="14"/>
      <c r="AZ99" s="28"/>
      <c r="BA99" s="9"/>
      <c r="BB99" s="14"/>
      <c r="BC99" s="14"/>
      <c r="BD99" s="28"/>
      <c r="BE99" s="9"/>
      <c r="BF99" s="14"/>
      <c r="BG99" s="14"/>
      <c r="BH99" s="28"/>
      <c r="BI99" s="14"/>
    </row>
    <row r="100" spans="1:61" ht="15" customHeight="1" x14ac:dyDescent="0.25">
      <c r="A100" s="9"/>
      <c r="B100" s="42"/>
      <c r="C100" s="363"/>
      <c r="D100" s="102" t="s">
        <v>7</v>
      </c>
      <c r="E100" s="105" t="e">
        <f>L123</f>
        <v>#DIV/0!</v>
      </c>
      <c r="F100" s="182" t="e">
        <f>IF(E100=0,"TRUE",ROUND(E100/SUMIF(BI126:BI245,2,H126:H245),5)=ROUND(E29,5))</f>
        <v>#DIV/0!</v>
      </c>
      <c r="G100" s="14"/>
      <c r="H100" s="14"/>
      <c r="I100" s="14"/>
      <c r="J100" s="217"/>
      <c r="K100" s="33"/>
      <c r="L100" s="9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28"/>
      <c r="AC100" s="9"/>
      <c r="AD100" s="14"/>
      <c r="AE100" s="14"/>
      <c r="AF100" s="14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14"/>
      <c r="AR100" s="14"/>
      <c r="AS100" s="14"/>
      <c r="AT100" s="14"/>
      <c r="AU100" s="14"/>
      <c r="AV100" s="14"/>
      <c r="AW100" s="14"/>
      <c r="AX100" s="14"/>
      <c r="AY100" s="14"/>
      <c r="AZ100" s="28"/>
      <c r="BA100" s="9"/>
      <c r="BB100" s="14"/>
      <c r="BC100" s="14"/>
      <c r="BD100" s="28"/>
      <c r="BE100" s="9"/>
      <c r="BF100" s="14"/>
      <c r="BG100" s="14"/>
      <c r="BH100" s="28"/>
      <c r="BI100" s="14"/>
    </row>
    <row r="101" spans="1:61" ht="15" customHeight="1" x14ac:dyDescent="0.25">
      <c r="A101" s="9"/>
      <c r="B101" s="42"/>
      <c r="C101" s="363"/>
      <c r="D101" s="102" t="s">
        <v>158</v>
      </c>
      <c r="E101" s="105" t="e">
        <f>M123</f>
        <v>#DIV/0!</v>
      </c>
      <c r="F101" s="182" t="e">
        <f>ROUND(E101/(E98+E99+E100),5)=ROUND(E30*E31,5)</f>
        <v>#DIV/0!</v>
      </c>
      <c r="G101" s="14"/>
      <c r="H101" s="14"/>
      <c r="I101" s="14"/>
      <c r="J101" s="217"/>
      <c r="K101" s="33"/>
      <c r="L101" s="9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28"/>
      <c r="AC101" s="9"/>
      <c r="AD101" s="14"/>
      <c r="AE101" s="14"/>
      <c r="AF101" s="14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14"/>
      <c r="AR101" s="14"/>
      <c r="AS101" s="14"/>
      <c r="AT101" s="14"/>
      <c r="AU101" s="14"/>
      <c r="AV101" s="14"/>
      <c r="AW101" s="14"/>
      <c r="AX101" s="14"/>
      <c r="AY101" s="14"/>
      <c r="AZ101" s="28"/>
      <c r="BA101" s="9"/>
      <c r="BB101" s="14"/>
      <c r="BC101" s="14"/>
      <c r="BD101" s="28"/>
      <c r="BE101" s="9"/>
      <c r="BF101" s="14"/>
      <c r="BG101" s="14"/>
      <c r="BH101" s="28"/>
      <c r="BI101" s="14"/>
    </row>
    <row r="102" spans="1:61" ht="15" customHeight="1" x14ac:dyDescent="0.25">
      <c r="A102" s="9"/>
      <c r="B102" s="42"/>
      <c r="C102" s="363"/>
      <c r="D102" s="102" t="s">
        <v>100</v>
      </c>
      <c r="E102" s="105">
        <f>N123</f>
        <v>0</v>
      </c>
      <c r="F102" s="101"/>
      <c r="G102" s="14"/>
      <c r="H102" s="14"/>
      <c r="I102" s="14"/>
      <c r="J102" s="14"/>
      <c r="K102" s="33"/>
      <c r="L102" s="9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28"/>
      <c r="AC102" s="9"/>
      <c r="AD102" s="14"/>
      <c r="AE102" s="14"/>
      <c r="AF102" s="14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14"/>
      <c r="AR102" s="14"/>
      <c r="AS102" s="14"/>
      <c r="AT102" s="14"/>
      <c r="AU102" s="14"/>
      <c r="AV102" s="14"/>
      <c r="AW102" s="14"/>
      <c r="AX102" s="14"/>
      <c r="AY102" s="14"/>
      <c r="AZ102" s="28"/>
      <c r="BA102" s="9"/>
      <c r="BB102" s="14"/>
      <c r="BC102" s="14"/>
      <c r="BD102" s="28"/>
      <c r="BE102" s="9"/>
      <c r="BF102" s="14"/>
      <c r="BG102" s="14"/>
      <c r="BH102" s="28"/>
      <c r="BI102" s="14"/>
    </row>
    <row r="103" spans="1:61" ht="15" customHeight="1" x14ac:dyDescent="0.25">
      <c r="A103" s="9"/>
      <c r="B103" s="42"/>
      <c r="C103" s="363"/>
      <c r="D103" s="102" t="s">
        <v>153</v>
      </c>
      <c r="E103" s="105">
        <f>O123</f>
        <v>0</v>
      </c>
      <c r="F103" s="101"/>
      <c r="G103" s="14"/>
      <c r="H103" s="14"/>
      <c r="I103" s="14"/>
      <c r="J103" s="14"/>
      <c r="K103" s="33"/>
      <c r="L103" s="9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28"/>
      <c r="AC103" s="9"/>
      <c r="AD103" s="14"/>
      <c r="AE103" s="14"/>
      <c r="AF103" s="14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14"/>
      <c r="AR103" s="14"/>
      <c r="AS103" s="14"/>
      <c r="AT103" s="14"/>
      <c r="AU103" s="14"/>
      <c r="AV103" s="14"/>
      <c r="AW103" s="14"/>
      <c r="AX103" s="14"/>
      <c r="AY103" s="14"/>
      <c r="AZ103" s="28"/>
      <c r="BA103" s="9"/>
      <c r="BB103" s="14"/>
      <c r="BC103" s="14"/>
      <c r="BD103" s="28"/>
      <c r="BE103" s="9"/>
      <c r="BF103" s="14"/>
      <c r="BG103" s="14"/>
      <c r="BH103" s="28"/>
      <c r="BI103" s="14"/>
    </row>
    <row r="104" spans="1:61" ht="15" customHeight="1" x14ac:dyDescent="0.25">
      <c r="A104" s="9"/>
      <c r="B104" s="42"/>
      <c r="C104" s="363"/>
      <c r="D104" s="102" t="s">
        <v>155</v>
      </c>
      <c r="E104" s="105">
        <f>P123</f>
        <v>0</v>
      </c>
      <c r="F104" s="182" t="str">
        <f>IF(E103=0,"TRUE",ROUND(E104/E103,5)=ROUND(E35,5))</f>
        <v>TRUE</v>
      </c>
      <c r="G104" s="14"/>
      <c r="H104" s="14"/>
      <c r="I104" s="14"/>
      <c r="J104" s="14"/>
      <c r="K104" s="33"/>
      <c r="L104" s="9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28"/>
      <c r="AC104" s="9"/>
      <c r="AD104" s="14"/>
      <c r="AE104" s="14"/>
      <c r="AF104" s="14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14"/>
      <c r="AR104" s="14"/>
      <c r="AS104" s="14"/>
      <c r="AT104" s="14"/>
      <c r="AU104" s="14"/>
      <c r="AV104" s="14"/>
      <c r="AW104" s="14"/>
      <c r="AX104" s="14"/>
      <c r="AY104" s="14"/>
      <c r="AZ104" s="28"/>
      <c r="BA104" s="9"/>
      <c r="BB104" s="14"/>
      <c r="BC104" s="14"/>
      <c r="BD104" s="28"/>
      <c r="BE104" s="9"/>
      <c r="BF104" s="14"/>
      <c r="BG104" s="14"/>
      <c r="BH104" s="28"/>
      <c r="BI104" s="14"/>
    </row>
    <row r="105" spans="1:61" ht="15" customHeight="1" x14ac:dyDescent="0.25">
      <c r="A105" s="9"/>
      <c r="B105" s="42"/>
      <c r="C105" s="363"/>
      <c r="D105" s="102" t="s">
        <v>105</v>
      </c>
      <c r="E105" s="105">
        <f>Q123</f>
        <v>0</v>
      </c>
      <c r="F105" s="101"/>
      <c r="G105" s="14"/>
      <c r="H105" s="14"/>
      <c r="I105" s="14"/>
      <c r="J105" s="14"/>
      <c r="K105" s="33"/>
      <c r="L105" s="9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28"/>
      <c r="AC105" s="9"/>
      <c r="AD105" s="14"/>
      <c r="AE105" s="14"/>
      <c r="AF105" s="14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14"/>
      <c r="AR105" s="14"/>
      <c r="AS105" s="14"/>
      <c r="AT105" s="14"/>
      <c r="AU105" s="14"/>
      <c r="AV105" s="14"/>
      <c r="AW105" s="14"/>
      <c r="AX105" s="14"/>
      <c r="AY105" s="14"/>
      <c r="AZ105" s="28"/>
      <c r="BA105" s="9"/>
      <c r="BB105" s="14"/>
      <c r="BC105" s="14"/>
      <c r="BD105" s="28"/>
      <c r="BE105" s="9"/>
      <c r="BF105" s="14"/>
      <c r="BG105" s="14"/>
      <c r="BH105" s="28"/>
      <c r="BI105" s="14"/>
    </row>
    <row r="106" spans="1:61" ht="15" customHeight="1" x14ac:dyDescent="0.25">
      <c r="A106" s="9"/>
      <c r="B106" s="42"/>
      <c r="C106" s="363"/>
      <c r="D106" s="102" t="s">
        <v>137</v>
      </c>
      <c r="E106" s="105" t="e">
        <f>Z123</f>
        <v>#DIV/0!</v>
      </c>
      <c r="F106" s="101" t="e">
        <f>ROUND(E106/U123,2)=ROUND(E39,2)</f>
        <v>#DIV/0!</v>
      </c>
      <c r="G106" s="14"/>
      <c r="H106" s="14"/>
      <c r="I106" s="14"/>
      <c r="J106" s="217"/>
      <c r="K106" s="33"/>
      <c r="L106" s="9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28"/>
      <c r="AC106" s="9"/>
      <c r="AD106" s="14"/>
      <c r="AE106" s="14"/>
      <c r="AF106" s="14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14"/>
      <c r="AR106" s="14"/>
      <c r="AS106" s="14"/>
      <c r="AT106" s="14"/>
      <c r="AU106" s="14"/>
      <c r="AV106" s="14"/>
      <c r="AW106" s="14"/>
      <c r="AX106" s="14"/>
      <c r="AY106" s="14"/>
      <c r="AZ106" s="28"/>
      <c r="BA106" s="9"/>
      <c r="BB106" s="14"/>
      <c r="BC106" s="14"/>
      <c r="BD106" s="28"/>
      <c r="BE106" s="9"/>
      <c r="BF106" s="14"/>
      <c r="BG106" s="14"/>
      <c r="BH106" s="28"/>
      <c r="BI106" s="14"/>
    </row>
    <row r="107" spans="1:61" ht="15" customHeight="1" x14ac:dyDescent="0.25">
      <c r="A107" s="9"/>
      <c r="B107" s="42"/>
      <c r="C107" s="363"/>
      <c r="D107" s="102" t="s">
        <v>138</v>
      </c>
      <c r="E107" s="105" t="e">
        <f>AB123</f>
        <v>#DIV/0!</v>
      </c>
      <c r="F107" s="101" t="e">
        <f>ROUND(E107/AA123,2)=ROUND(E40,2)</f>
        <v>#DIV/0!</v>
      </c>
      <c r="G107" s="14"/>
      <c r="H107" s="14"/>
      <c r="I107" s="14"/>
      <c r="J107" s="217"/>
      <c r="K107" s="33"/>
      <c r="L107" s="9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28"/>
      <c r="AC107" s="9"/>
      <c r="AD107" s="14"/>
      <c r="AE107" s="14"/>
      <c r="AF107" s="14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14"/>
      <c r="AR107" s="14"/>
      <c r="AS107" s="14"/>
      <c r="AT107" s="14"/>
      <c r="AU107" s="14"/>
      <c r="AV107" s="14"/>
      <c r="AW107" s="14"/>
      <c r="AX107" s="14"/>
      <c r="AY107" s="14"/>
      <c r="AZ107" s="28"/>
      <c r="BA107" s="9"/>
      <c r="BB107" s="14"/>
      <c r="BC107" s="14"/>
      <c r="BD107" s="28"/>
      <c r="BE107" s="9"/>
      <c r="BF107" s="14"/>
      <c r="BG107" s="14"/>
      <c r="BH107" s="28"/>
      <c r="BI107" s="14"/>
    </row>
    <row r="108" spans="1:61" ht="15" customHeight="1" x14ac:dyDescent="0.25">
      <c r="A108" s="9"/>
      <c r="B108" s="42"/>
      <c r="C108" s="363"/>
      <c r="D108" s="102" t="s">
        <v>133</v>
      </c>
      <c r="E108" s="105" t="e">
        <f>AD123</f>
        <v>#NUM!</v>
      </c>
      <c r="F108" s="101" t="e">
        <f>ROUND(E108/(AA123+E105),2)=ROUND(E41,2)</f>
        <v>#NUM!</v>
      </c>
      <c r="G108" s="14"/>
      <c r="H108" s="14"/>
      <c r="I108" s="14"/>
      <c r="J108" s="217"/>
      <c r="K108" s="33"/>
      <c r="L108" s="9"/>
      <c r="M108" s="14"/>
      <c r="N108" s="195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28"/>
      <c r="AC108" s="9"/>
      <c r="AD108" s="14"/>
      <c r="AE108" s="14"/>
      <c r="AF108" s="14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14"/>
      <c r="AR108" s="14"/>
      <c r="AS108" s="14"/>
      <c r="AT108" s="14"/>
      <c r="AU108" s="14"/>
      <c r="AV108" s="14"/>
      <c r="AW108" s="14"/>
      <c r="AX108" s="14"/>
      <c r="AY108" s="14"/>
      <c r="AZ108" s="28"/>
      <c r="BA108" s="9"/>
      <c r="BB108" s="14"/>
      <c r="BC108" s="14"/>
      <c r="BD108" s="28"/>
      <c r="BE108" s="9"/>
      <c r="BF108" s="14"/>
      <c r="BG108" s="14"/>
      <c r="BH108" s="28"/>
      <c r="BI108" s="14"/>
    </row>
    <row r="109" spans="1:61" ht="15" customHeight="1" x14ac:dyDescent="0.25">
      <c r="A109" s="9"/>
      <c r="B109" s="42"/>
      <c r="C109" s="363"/>
      <c r="D109" s="102" t="s">
        <v>142</v>
      </c>
      <c r="E109" s="105" t="e">
        <f>AF123</f>
        <v>#DIV/0!</v>
      </c>
      <c r="F109" s="101"/>
      <c r="G109" s="14"/>
      <c r="H109" s="14"/>
      <c r="I109" s="14"/>
      <c r="J109" s="14"/>
      <c r="K109" s="33"/>
      <c r="L109" s="9"/>
      <c r="M109" s="14"/>
      <c r="N109" s="195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28"/>
      <c r="AC109" s="9"/>
      <c r="AD109" s="14"/>
      <c r="AE109" s="14"/>
      <c r="AF109" s="14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14"/>
      <c r="AR109" s="14"/>
      <c r="AS109" s="14"/>
      <c r="AT109" s="14"/>
      <c r="AU109" s="14"/>
      <c r="AV109" s="14"/>
      <c r="AW109" s="14"/>
      <c r="AX109" s="14"/>
      <c r="AY109" s="14"/>
      <c r="AZ109" s="28"/>
      <c r="BA109" s="9"/>
      <c r="BB109" s="14"/>
      <c r="BC109" s="14"/>
      <c r="BD109" s="28"/>
      <c r="BE109" s="9"/>
      <c r="BF109" s="14"/>
      <c r="BG109" s="14"/>
      <c r="BH109" s="28"/>
      <c r="BI109" s="14"/>
    </row>
    <row r="110" spans="1:61" ht="15" customHeight="1" x14ac:dyDescent="0.25">
      <c r="A110" s="9"/>
      <c r="B110" s="42"/>
      <c r="C110" s="363"/>
      <c r="D110" s="102" t="s">
        <v>152</v>
      </c>
      <c r="E110" s="105" t="e">
        <f>AH123</f>
        <v>#NUM!</v>
      </c>
      <c r="F110" s="101"/>
      <c r="G110" s="14"/>
      <c r="H110" s="14"/>
      <c r="I110" s="14"/>
      <c r="J110" s="217"/>
      <c r="K110" s="33"/>
      <c r="L110" s="9"/>
      <c r="M110" s="14"/>
      <c r="N110" s="80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28"/>
      <c r="AC110" s="9"/>
      <c r="AD110" s="14"/>
      <c r="AE110" s="14"/>
      <c r="AF110" s="14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14"/>
      <c r="AR110" s="14"/>
      <c r="AS110" s="14"/>
      <c r="AT110" s="14"/>
      <c r="AU110" s="14"/>
      <c r="AV110" s="14"/>
      <c r="AW110" s="14"/>
      <c r="AX110" s="14"/>
      <c r="AY110" s="14"/>
      <c r="AZ110" s="28"/>
      <c r="BA110" s="9"/>
      <c r="BB110" s="14"/>
      <c r="BC110" s="14"/>
      <c r="BD110" s="28"/>
      <c r="BE110" s="9"/>
      <c r="BF110" s="14"/>
      <c r="BG110" s="14"/>
      <c r="BH110" s="28"/>
      <c r="BI110" s="14"/>
    </row>
    <row r="111" spans="1:61" ht="15" customHeight="1" x14ac:dyDescent="0.25">
      <c r="A111" s="9"/>
      <c r="B111" s="42"/>
      <c r="C111" s="363"/>
      <c r="D111" s="102" t="s">
        <v>115</v>
      </c>
      <c r="E111" s="105">
        <f>AJ123</f>
        <v>0</v>
      </c>
      <c r="F111" s="101"/>
      <c r="G111" s="14"/>
      <c r="H111" s="14"/>
      <c r="I111" s="14"/>
      <c r="J111" s="14"/>
      <c r="K111" s="33"/>
      <c r="L111" s="9"/>
      <c r="M111" s="14"/>
      <c r="N111" s="80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28"/>
      <c r="AC111" s="9"/>
      <c r="AD111" s="14"/>
      <c r="AE111" s="14"/>
      <c r="AF111" s="14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14"/>
      <c r="AR111" s="14"/>
      <c r="AS111" s="14"/>
      <c r="AT111" s="14"/>
      <c r="AU111" s="14"/>
      <c r="AV111" s="14"/>
      <c r="AW111" s="14"/>
      <c r="AX111" s="14"/>
      <c r="AY111" s="14"/>
      <c r="AZ111" s="28"/>
      <c r="BA111" s="9"/>
      <c r="BB111" s="14"/>
      <c r="BC111" s="14"/>
      <c r="BD111" s="28"/>
      <c r="BE111" s="9"/>
      <c r="BF111" s="14"/>
      <c r="BG111" s="14"/>
      <c r="BH111" s="28"/>
      <c r="BI111" s="14"/>
    </row>
    <row r="112" spans="1:61" ht="15" customHeight="1" x14ac:dyDescent="0.25">
      <c r="A112" s="9"/>
      <c r="B112" s="42"/>
      <c r="C112" s="363"/>
      <c r="D112" s="102" t="s">
        <v>116</v>
      </c>
      <c r="E112" s="105">
        <f>AK123</f>
        <v>0</v>
      </c>
      <c r="F112" s="101"/>
      <c r="G112" s="14"/>
      <c r="H112" s="14"/>
      <c r="I112" s="14"/>
      <c r="J112" s="14"/>
      <c r="K112" s="33"/>
      <c r="L112" s="9"/>
      <c r="M112" s="14"/>
      <c r="N112" s="80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28"/>
      <c r="AC112" s="9"/>
      <c r="AD112" s="14"/>
      <c r="AE112" s="14"/>
      <c r="AF112" s="14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14"/>
      <c r="AR112" s="14"/>
      <c r="AS112" s="14"/>
      <c r="AT112" s="14"/>
      <c r="AU112" s="14"/>
      <c r="AV112" s="14"/>
      <c r="AW112" s="14"/>
      <c r="AX112" s="14"/>
      <c r="AY112" s="14"/>
      <c r="AZ112" s="28"/>
      <c r="BA112" s="9"/>
      <c r="BB112" s="14"/>
      <c r="BC112" s="14"/>
      <c r="BD112" s="28"/>
      <c r="BE112" s="9"/>
      <c r="BF112" s="14"/>
      <c r="BG112" s="14"/>
      <c r="BH112" s="28"/>
      <c r="BI112" s="14"/>
    </row>
    <row r="113" spans="1:61" ht="15" customHeight="1" x14ac:dyDescent="0.25">
      <c r="A113" s="9"/>
      <c r="B113" s="14"/>
      <c r="C113" s="363"/>
      <c r="D113" s="102" t="s">
        <v>118</v>
      </c>
      <c r="E113" s="105" t="e">
        <f>AM123</f>
        <v>#NUM!</v>
      </c>
      <c r="F113" s="101"/>
      <c r="G113" s="292"/>
      <c r="H113" s="14"/>
      <c r="I113" s="14"/>
      <c r="J113" s="217"/>
      <c r="K113" s="33"/>
      <c r="L113" s="45"/>
      <c r="M113" s="14"/>
      <c r="N113" s="80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46"/>
      <c r="AC113" s="45"/>
      <c r="AD113" s="14"/>
      <c r="AE113" s="14"/>
      <c r="AF113" s="14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2"/>
      <c r="AR113" s="14"/>
      <c r="AS113" s="14"/>
      <c r="AT113" s="14"/>
      <c r="AU113" s="14"/>
      <c r="AV113" s="14"/>
      <c r="AW113" s="14"/>
      <c r="AX113" s="14"/>
      <c r="AY113" s="14"/>
      <c r="AZ113" s="46"/>
      <c r="BA113" s="45"/>
      <c r="BB113" s="14"/>
      <c r="BC113" s="14"/>
      <c r="BD113" s="46"/>
      <c r="BE113" s="45"/>
      <c r="BF113" s="14"/>
      <c r="BG113" s="14"/>
      <c r="BH113" s="46"/>
      <c r="BI113" s="42"/>
    </row>
    <row r="114" spans="1:61" ht="15" customHeight="1" x14ac:dyDescent="0.25">
      <c r="A114" s="36"/>
      <c r="B114" s="14"/>
      <c r="C114" s="363"/>
      <c r="D114" s="102" t="s">
        <v>134</v>
      </c>
      <c r="E114" s="105">
        <f>AN123</f>
        <v>0</v>
      </c>
      <c r="F114" s="101"/>
      <c r="G114" s="14"/>
      <c r="H114" s="14"/>
      <c r="I114" s="14"/>
      <c r="J114" s="14"/>
      <c r="K114" s="33"/>
      <c r="L114" s="9"/>
      <c r="M114" s="14"/>
      <c r="N114" s="195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28"/>
      <c r="AC114" s="9"/>
      <c r="AD114" s="14"/>
      <c r="AE114" s="14"/>
      <c r="AF114" s="14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14"/>
      <c r="AR114" s="14"/>
      <c r="AS114" s="14"/>
      <c r="AT114" s="14"/>
      <c r="AU114" s="14"/>
      <c r="AV114" s="14"/>
      <c r="AW114" s="14"/>
      <c r="AX114" s="14"/>
      <c r="AY114" s="14"/>
      <c r="AZ114" s="28"/>
      <c r="BA114" s="9"/>
      <c r="BB114" s="14"/>
      <c r="BC114" s="14"/>
      <c r="BD114" s="28"/>
      <c r="BE114" s="9"/>
      <c r="BF114" s="14"/>
      <c r="BG114" s="14"/>
      <c r="BH114" s="28"/>
      <c r="BI114" s="14"/>
    </row>
    <row r="115" spans="1:61" ht="15.75" customHeight="1" thickBot="1" x14ac:dyDescent="0.3">
      <c r="A115" s="9"/>
      <c r="B115" s="14"/>
      <c r="C115" s="364"/>
      <c r="D115" s="252" t="s">
        <v>84</v>
      </c>
      <c r="E115" s="253">
        <f>AR123+AU123</f>
        <v>0</v>
      </c>
      <c r="F115" s="254"/>
      <c r="G115" s="14"/>
      <c r="H115" s="14"/>
      <c r="I115" s="14"/>
      <c r="J115" s="217"/>
      <c r="K115" s="33"/>
      <c r="L115" s="9"/>
      <c r="M115" s="14"/>
      <c r="N115" s="80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28"/>
      <c r="AC115" s="9"/>
      <c r="AD115" s="14"/>
      <c r="AE115" s="14"/>
      <c r="AF115" s="14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14"/>
      <c r="AR115" s="14"/>
      <c r="AS115" s="14"/>
      <c r="AT115" s="14"/>
      <c r="AU115" s="14"/>
      <c r="AV115" s="14"/>
      <c r="AW115" s="14"/>
      <c r="AX115" s="14"/>
      <c r="AY115" s="14"/>
      <c r="AZ115" s="28"/>
      <c r="BA115" s="9"/>
      <c r="BB115" s="14"/>
      <c r="BC115" s="14"/>
      <c r="BD115" s="28"/>
      <c r="BE115" s="9"/>
      <c r="BF115" s="14"/>
      <c r="BG115" s="14"/>
      <c r="BH115" s="28"/>
      <c r="BI115" s="14"/>
    </row>
    <row r="116" spans="1:61" x14ac:dyDescent="0.25">
      <c r="A116" s="9"/>
      <c r="B116" s="14"/>
      <c r="C116" s="363"/>
      <c r="D116" s="39" t="s">
        <v>93</v>
      </c>
      <c r="E116" s="138">
        <f>E123</f>
        <v>0</v>
      </c>
      <c r="F116" s="41"/>
      <c r="G116" s="14"/>
      <c r="H116" s="14"/>
      <c r="I116" s="14"/>
      <c r="J116" s="14"/>
      <c r="K116" s="33"/>
      <c r="L116" s="9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28"/>
      <c r="AC116" s="9"/>
      <c r="AD116" s="9"/>
      <c r="AE116" s="9"/>
      <c r="AF116" s="9"/>
      <c r="AG116" s="9"/>
      <c r="AH116" s="28"/>
      <c r="AI116" s="28"/>
      <c r="AJ116" s="28"/>
      <c r="AK116" s="28"/>
      <c r="AL116" s="28"/>
      <c r="AM116" s="28"/>
      <c r="AN116" s="28"/>
      <c r="AO116" s="28"/>
      <c r="AP116" s="28"/>
      <c r="AQ116"/>
      <c r="AR116"/>
      <c r="AS116" s="14"/>
      <c r="AT116" s="14"/>
      <c r="AU116" s="14"/>
      <c r="AV116" s="14"/>
      <c r="AW116" s="14"/>
      <c r="AX116" s="14"/>
      <c r="AY116" s="14"/>
      <c r="AZ116" s="28"/>
      <c r="BA116" s="14"/>
      <c r="BB116" s="14"/>
      <c r="BC116" s="14"/>
      <c r="BD116" s="28"/>
      <c r="BE116" s="14"/>
      <c r="BF116" s="14"/>
      <c r="BG116" s="14"/>
      <c r="BH116" s="28"/>
      <c r="BI116" s="14"/>
    </row>
    <row r="117" spans="1:61" x14ac:dyDescent="0.25">
      <c r="A117" s="9"/>
      <c r="B117" s="14"/>
      <c r="C117" s="363"/>
      <c r="D117" s="39" t="s">
        <v>95</v>
      </c>
      <c r="E117" s="249">
        <f>F123</f>
        <v>0</v>
      </c>
      <c r="F117" s="41"/>
      <c r="G117" s="14"/>
      <c r="H117" s="14"/>
      <c r="I117" s="14"/>
      <c r="J117" s="14"/>
      <c r="K117" s="33"/>
      <c r="L117" s="9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28"/>
      <c r="AC117" s="9"/>
      <c r="AD117" s="9"/>
      <c r="AE117" s="9"/>
      <c r="AF117" s="9"/>
      <c r="AG117" s="9"/>
      <c r="AH117" s="28"/>
      <c r="AI117" s="28"/>
      <c r="AJ117" s="28"/>
      <c r="AK117" s="28"/>
      <c r="AL117" s="28"/>
      <c r="AM117" s="28"/>
      <c r="AN117" s="28"/>
      <c r="AO117" s="28"/>
      <c r="AP117" s="28"/>
      <c r="AQ117" s="123"/>
      <c r="AR117" s="197"/>
      <c r="AS117" s="14"/>
      <c r="AT117" s="14"/>
      <c r="AU117" s="14"/>
      <c r="AV117" s="14"/>
      <c r="AW117" s="14"/>
      <c r="AX117" s="14"/>
      <c r="AY117" s="14"/>
      <c r="AZ117" s="28"/>
      <c r="BA117" s="9"/>
      <c r="BB117" s="14"/>
      <c r="BC117" s="14"/>
      <c r="BD117" s="28"/>
      <c r="BE117" s="9"/>
      <c r="BF117" s="14"/>
      <c r="BG117" s="14"/>
      <c r="BH117" s="28"/>
      <c r="BI117" s="14"/>
    </row>
    <row r="118" spans="1:61" ht="15.75" thickBot="1" x14ac:dyDescent="0.3">
      <c r="A118" s="9"/>
      <c r="B118" s="14"/>
      <c r="C118" s="364"/>
      <c r="D118" s="34" t="s">
        <v>143</v>
      </c>
      <c r="E118" s="250">
        <f>G123</f>
        <v>0</v>
      </c>
      <c r="F118" s="251"/>
      <c r="G118" s="14"/>
      <c r="H118" s="14"/>
      <c r="I118" s="14"/>
      <c r="J118" s="14"/>
      <c r="K118" s="33"/>
      <c r="L118" s="9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9"/>
      <c r="AD118" s="9"/>
      <c r="AE118" s="9"/>
      <c r="AF118" s="9"/>
      <c r="AG118" s="15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98"/>
      <c r="AR118" s="196"/>
      <c r="AS118" s="14"/>
      <c r="AT118" s="19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</row>
    <row r="119" spans="1:61" ht="15.75" thickBot="1" x14ac:dyDescent="0.3">
      <c r="A119" s="9"/>
      <c r="B119" s="14"/>
      <c r="C119" s="31"/>
      <c r="D119" s="30"/>
      <c r="E119" s="30"/>
      <c r="F119" s="30"/>
      <c r="G119" s="30"/>
      <c r="H119" s="30"/>
      <c r="I119" s="30"/>
      <c r="J119" s="30"/>
      <c r="K119" s="29"/>
      <c r="L119" s="9"/>
      <c r="M119" s="14"/>
      <c r="N119" s="14"/>
      <c r="O119" s="14"/>
      <c r="P119" s="14"/>
      <c r="Q119" s="14"/>
      <c r="R119" s="9"/>
      <c r="S119" s="9"/>
      <c r="T119" s="14"/>
      <c r="U119" s="14"/>
      <c r="V119" s="14"/>
      <c r="W119" s="14"/>
      <c r="X119" s="14"/>
      <c r="Y119" s="14"/>
      <c r="Z119" s="14"/>
      <c r="AA119" s="14"/>
      <c r="AB119" s="28"/>
      <c r="AC119" s="9"/>
      <c r="AD119" s="9"/>
      <c r="AE119" s="154"/>
      <c r="AF119" s="9"/>
      <c r="AG119" s="154"/>
      <c r="AH119" s="28"/>
      <c r="AI119" s="14"/>
      <c r="AJ119" s="28"/>
      <c r="AK119" s="28"/>
      <c r="AL119" s="28"/>
      <c r="AM119" s="28"/>
      <c r="AN119" s="28"/>
      <c r="AO119" s="28"/>
      <c r="AP119" s="28"/>
      <c r="AQ119" s="123"/>
      <c r="AR119" s="211"/>
      <c r="AS119" s="14"/>
      <c r="AT119" s="14"/>
      <c r="AU119" s="14"/>
      <c r="AV119" s="14"/>
      <c r="AW119" s="14"/>
      <c r="AX119" s="14"/>
      <c r="AY119" s="14"/>
      <c r="AZ119" s="28"/>
      <c r="BA119" s="9"/>
      <c r="BB119" s="14"/>
      <c r="BC119" s="14"/>
      <c r="BD119" s="28"/>
      <c r="BE119" s="9"/>
      <c r="BF119" s="14"/>
      <c r="BG119" s="14"/>
      <c r="BH119" s="28"/>
      <c r="BI119" s="14"/>
    </row>
    <row r="120" spans="1:61" x14ac:dyDescent="0.25">
      <c r="A120" s="9"/>
      <c r="B120" s="14"/>
      <c r="C120" s="9"/>
      <c r="D120" s="9"/>
      <c r="E120" s="6"/>
      <c r="F120" s="6"/>
      <c r="G120" s="9"/>
      <c r="H120" s="6"/>
      <c r="I120" s="6"/>
      <c r="J120" s="6"/>
      <c r="K120" s="6"/>
      <c r="L120" s="9"/>
      <c r="M120" s="9"/>
      <c r="N120" s="9"/>
      <c r="O120" s="9"/>
      <c r="P120" s="9"/>
      <c r="Q120" s="9"/>
      <c r="R120" s="6"/>
      <c r="S120" s="9"/>
      <c r="T120" s="9"/>
      <c r="U120" s="14"/>
      <c r="V120" s="14"/>
      <c r="W120" s="14"/>
      <c r="X120" s="9"/>
      <c r="Y120" s="14"/>
      <c r="Z120" s="14"/>
      <c r="AA120" s="95"/>
      <c r="AB120" s="14"/>
      <c r="AC120" s="6"/>
      <c r="AD120" s="14"/>
      <c r="AE120" s="14"/>
      <c r="AF120" s="80"/>
      <c r="AG120" s="80"/>
      <c r="AH120" s="14"/>
      <c r="AI120" s="14"/>
      <c r="AJ120" s="14"/>
      <c r="AK120" s="14"/>
      <c r="AL120" s="14"/>
      <c r="AM120" s="14"/>
      <c r="AN120" s="14"/>
      <c r="AO120" s="14"/>
      <c r="AP120" s="9"/>
      <c r="AQ120" s="123"/>
      <c r="AR120" s="124" t="e">
        <f>AR123/AO123</f>
        <v>#NUM!</v>
      </c>
      <c r="AS120" s="9"/>
      <c r="AT120" s="9"/>
      <c r="AU120" s="124" t="e">
        <f>AU123/AO123</f>
        <v>#NUM!</v>
      </c>
      <c r="AV120" s="9"/>
      <c r="AW120" s="9"/>
      <c r="AX120" s="9"/>
      <c r="AY120" s="14"/>
      <c r="AZ120" s="6"/>
      <c r="BA120" s="9"/>
      <c r="BB120" s="14"/>
      <c r="BC120" s="14"/>
      <c r="BD120" s="6"/>
      <c r="BE120" s="9"/>
      <c r="BF120" s="14"/>
      <c r="BG120" s="14"/>
      <c r="BH120" s="6"/>
      <c r="BI120" s="6"/>
    </row>
    <row r="121" spans="1:61" ht="15.75" x14ac:dyDescent="0.25">
      <c r="A121" s="14"/>
      <c r="B121" s="14"/>
      <c r="C121" s="27"/>
      <c r="D121" s="26"/>
      <c r="E121" s="80"/>
      <c r="F121" s="14"/>
      <c r="G121" s="14"/>
      <c r="H121" s="358" t="s">
        <v>156</v>
      </c>
      <c r="I121" s="358"/>
      <c r="J121" s="358"/>
      <c r="K121" s="358"/>
      <c r="L121" s="358"/>
      <c r="M121" s="358"/>
      <c r="N121" s="358"/>
      <c r="O121" s="358"/>
      <c r="P121" s="358"/>
      <c r="Q121" s="358"/>
      <c r="R121" s="358"/>
      <c r="S121" s="358"/>
      <c r="T121" s="358"/>
      <c r="U121" s="358"/>
      <c r="V121" s="358"/>
      <c r="W121" s="358"/>
      <c r="X121" s="358"/>
      <c r="Y121" s="358"/>
      <c r="Z121" s="358"/>
      <c r="AA121" s="358"/>
      <c r="AB121" s="358"/>
      <c r="AC121" s="358"/>
      <c r="AD121" s="358"/>
      <c r="AE121" s="218"/>
      <c r="AF121" s="218"/>
      <c r="AG121" s="356" t="s">
        <v>119</v>
      </c>
      <c r="AH121" s="356"/>
      <c r="AI121" s="356"/>
      <c r="AJ121" s="356"/>
      <c r="AK121" s="356"/>
      <c r="AL121" s="357" t="s">
        <v>120</v>
      </c>
      <c r="AM121" s="357"/>
      <c r="AN121" s="357"/>
      <c r="AO121" s="357"/>
      <c r="AP121" s="357"/>
      <c r="AQ121" s="123"/>
      <c r="AR121" s="199"/>
      <c r="AS121" s="9"/>
      <c r="AT121" s="9"/>
      <c r="AU121" s="199"/>
      <c r="AV121" s="154"/>
      <c r="AW121" s="9"/>
      <c r="AX121" s="9"/>
      <c r="AY121" s="14"/>
      <c r="AZ121" s="358" t="s">
        <v>102</v>
      </c>
      <c r="BA121" s="358"/>
      <c r="BB121" s="358"/>
      <c r="BC121" s="358"/>
      <c r="BD121" s="358"/>
      <c r="BE121" s="357" t="s">
        <v>125</v>
      </c>
      <c r="BF121" s="357"/>
      <c r="BG121" s="357"/>
      <c r="BH121" s="357"/>
      <c r="BI121" s="9"/>
    </row>
    <row r="122" spans="1:61" ht="15.75" thickBot="1" x14ac:dyDescent="0.3">
      <c r="A122" s="14"/>
      <c r="B122" s="14"/>
      <c r="C122" s="9"/>
      <c r="D122" s="9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14"/>
      <c r="AC122" s="25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9"/>
      <c r="AQ122" s="14"/>
      <c r="AR122" s="199" t="str">
        <f>IF(AND(AP123&gt;=E52,E53="Yes"),ROUND(AR123/AO123,3)=ROUND(E51,3),"-")</f>
        <v>-</v>
      </c>
      <c r="AS122" s="9"/>
      <c r="AT122" s="9"/>
      <c r="AU122" s="199"/>
      <c r="AV122" s="6"/>
      <c r="AW122" s="9"/>
      <c r="AX122" s="9"/>
      <c r="AY122" s="14"/>
      <c r="AZ122" s="9"/>
      <c r="BA122" s="6"/>
      <c r="BB122" s="6"/>
      <c r="BC122" s="6"/>
      <c r="BD122" s="6"/>
      <c r="BE122" s="6"/>
      <c r="BF122" s="6"/>
      <c r="BG122" s="6"/>
      <c r="BH122" s="6"/>
      <c r="BI122" s="9"/>
    </row>
    <row r="123" spans="1:61" ht="16.5" thickBot="1" x14ac:dyDescent="0.3">
      <c r="A123"/>
      <c r="B123" s="14"/>
      <c r="C123" s="24" t="s">
        <v>12</v>
      </c>
      <c r="D123" s="21" t="s">
        <v>11</v>
      </c>
      <c r="E123" s="22">
        <f t="shared" ref="E123:R123" si="0">SUM(E125:E245)</f>
        <v>0</v>
      </c>
      <c r="F123" s="22">
        <f t="shared" si="0"/>
        <v>0</v>
      </c>
      <c r="G123" s="22">
        <f t="shared" si="0"/>
        <v>0</v>
      </c>
      <c r="H123" s="22">
        <f t="shared" si="0"/>
        <v>0</v>
      </c>
      <c r="I123" s="22">
        <f t="shared" si="0"/>
        <v>0</v>
      </c>
      <c r="J123" s="22">
        <f t="shared" si="0"/>
        <v>0</v>
      </c>
      <c r="K123" s="22" t="e">
        <f t="shared" si="0"/>
        <v>#DIV/0!</v>
      </c>
      <c r="L123" s="22" t="e">
        <f t="shared" si="0"/>
        <v>#DIV/0!</v>
      </c>
      <c r="M123" s="22" t="e">
        <f t="shared" si="0"/>
        <v>#DIV/0!</v>
      </c>
      <c r="N123" s="22">
        <f t="shared" si="0"/>
        <v>0</v>
      </c>
      <c r="O123" s="22">
        <f>SUM(O125:O245)</f>
        <v>0</v>
      </c>
      <c r="P123" s="22">
        <f>SUM(P125:P245)</f>
        <v>0</v>
      </c>
      <c r="Q123" s="22">
        <f>SUM(Q125:Q245)</f>
        <v>0</v>
      </c>
      <c r="R123" s="22" t="e">
        <f t="shared" si="0"/>
        <v>#DIV/0!</v>
      </c>
      <c r="S123" s="22"/>
      <c r="T123" s="23" t="e">
        <f>T245</f>
        <v>#DIV/0!</v>
      </c>
      <c r="U123" s="24" t="e">
        <f>SUM(U126:U245)</f>
        <v>#DIV/0!</v>
      </c>
      <c r="V123" s="21" t="e">
        <f>SUM(V126:V245)</f>
        <v>#DIV/0!</v>
      </c>
      <c r="W123" s="21"/>
      <c r="X123" s="21" t="e">
        <f>SUM(X126:X245)</f>
        <v>#DIV/0!</v>
      </c>
      <c r="Y123" s="21"/>
      <c r="Z123" s="141" t="e">
        <f>SUM(Z126:Z245)</f>
        <v>#DIV/0!</v>
      </c>
      <c r="AA123" s="86" t="e">
        <f>SUM(AA125:AA245)</f>
        <v>#DIV/0!</v>
      </c>
      <c r="AB123" s="22" t="e">
        <f>SUM(AB125:AB245)</f>
        <v>#DIV/0!</v>
      </c>
      <c r="AC123" s="22" t="e">
        <f>SUM(AC126:AC245)</f>
        <v>#NUM!</v>
      </c>
      <c r="AD123" s="87" t="e">
        <f t="shared" ref="AD123:AO123" si="1">SUM(AD125:AD245)</f>
        <v>#NUM!</v>
      </c>
      <c r="AE123" s="24" t="e">
        <f>SUM(AE125:AE245)</f>
        <v>#NUM!</v>
      </c>
      <c r="AF123" s="22" t="e">
        <f>SUM(AF125:AF245)</f>
        <v>#DIV/0!</v>
      </c>
      <c r="AG123" s="24" t="e">
        <f t="shared" si="1"/>
        <v>#NUM!</v>
      </c>
      <c r="AH123" s="21" t="e">
        <f t="shared" si="1"/>
        <v>#NUM!</v>
      </c>
      <c r="AI123" s="21" t="e">
        <f t="shared" si="1"/>
        <v>#NUM!</v>
      </c>
      <c r="AJ123" s="21">
        <f t="shared" si="1"/>
        <v>0</v>
      </c>
      <c r="AK123" s="141">
        <f t="shared" si="1"/>
        <v>0</v>
      </c>
      <c r="AL123" s="21" t="e">
        <f t="shared" si="1"/>
        <v>#NUM!</v>
      </c>
      <c r="AM123" s="21" t="e">
        <f t="shared" si="1"/>
        <v>#NUM!</v>
      </c>
      <c r="AN123" s="21">
        <f t="shared" si="1"/>
        <v>0</v>
      </c>
      <c r="AO123" s="21" t="e">
        <f t="shared" si="1"/>
        <v>#NUM!</v>
      </c>
      <c r="AP123" s="20">
        <f>AP245</f>
        <v>-1</v>
      </c>
      <c r="AQ123" s="125" t="e">
        <f>AQ245</f>
        <v>#NUM!</v>
      </c>
      <c r="AR123" s="302">
        <f>SUM(AR126:AR245)</f>
        <v>0</v>
      </c>
      <c r="AS123" s="126" t="e">
        <f>SUM(AS125:AS245)</f>
        <v>#NUM!</v>
      </c>
      <c r="AT123" s="127">
        <f>AT245</f>
        <v>-1</v>
      </c>
      <c r="AU123" s="305">
        <f>SUM(AU126:AU245)</f>
        <v>0</v>
      </c>
      <c r="AV123" s="126" t="e">
        <f>SUM(AV125:AV245)</f>
        <v>#NUM!</v>
      </c>
      <c r="AW123" s="128">
        <f>AW245</f>
        <v>-1</v>
      </c>
      <c r="AX123" s="212" t="e">
        <f>MATCH(1,AX126:AX245,0)&amp;" months"</f>
        <v>#N/A</v>
      </c>
      <c r="AY123" s="14"/>
      <c r="AZ123" s="156"/>
      <c r="BA123" s="142"/>
      <c r="BB123" s="126" t="e">
        <f>SUM(BB126:BB245)</f>
        <v>#NUM!</v>
      </c>
      <c r="BC123" s="126" t="e">
        <f>SUM(BC126:BC245)</f>
        <v>#NUM!</v>
      </c>
      <c r="BD123" s="143"/>
      <c r="BE123" s="142"/>
      <c r="BF123" s="126" t="e">
        <f>SUM(BF126:BF245)</f>
        <v>#NUM!</v>
      </c>
      <c r="BG123" s="126" t="e">
        <f>SUM(BG126:BG245)</f>
        <v>#NUM!</v>
      </c>
      <c r="BH123" s="22"/>
      <c r="BI123" s="136"/>
    </row>
    <row r="124" spans="1:61" ht="45.95" customHeight="1" x14ac:dyDescent="0.25">
      <c r="A124"/>
      <c r="B124" s="14"/>
      <c r="C124" s="178"/>
      <c r="D124" s="19" t="s">
        <v>10</v>
      </c>
      <c r="E124" s="85" t="s">
        <v>93</v>
      </c>
      <c r="F124" s="85" t="s">
        <v>95</v>
      </c>
      <c r="G124" s="85" t="s">
        <v>143</v>
      </c>
      <c r="H124" s="19" t="s">
        <v>9</v>
      </c>
      <c r="I124" s="19" t="s">
        <v>161</v>
      </c>
      <c r="J124" s="19" t="s">
        <v>157</v>
      </c>
      <c r="K124" s="19" t="s">
        <v>8</v>
      </c>
      <c r="L124" s="19" t="s">
        <v>7</v>
      </c>
      <c r="M124" s="19" t="s">
        <v>158</v>
      </c>
      <c r="N124" s="19" t="s">
        <v>100</v>
      </c>
      <c r="O124" s="19" t="s">
        <v>153</v>
      </c>
      <c r="P124" s="19" t="s">
        <v>155</v>
      </c>
      <c r="Q124" s="19" t="s">
        <v>105</v>
      </c>
      <c r="R124" s="19" t="s">
        <v>6</v>
      </c>
      <c r="S124" s="19" t="s">
        <v>5</v>
      </c>
      <c r="T124" s="19" t="s">
        <v>4</v>
      </c>
      <c r="U124" s="88" t="s">
        <v>94</v>
      </c>
      <c r="V124" s="19" t="s">
        <v>93</v>
      </c>
      <c r="W124" s="19" t="s">
        <v>91</v>
      </c>
      <c r="X124" s="19" t="s">
        <v>95</v>
      </c>
      <c r="Y124" s="19" t="s">
        <v>90</v>
      </c>
      <c r="Z124" s="18" t="s">
        <v>137</v>
      </c>
      <c r="AA124" s="88" t="s">
        <v>139</v>
      </c>
      <c r="AB124" s="19" t="s">
        <v>138</v>
      </c>
      <c r="AC124" s="19" t="s">
        <v>63</v>
      </c>
      <c r="AD124" s="18" t="s">
        <v>123</v>
      </c>
      <c r="AE124" s="19" t="s">
        <v>141</v>
      </c>
      <c r="AF124" s="19" t="s">
        <v>142</v>
      </c>
      <c r="AG124" s="279" t="s">
        <v>126</v>
      </c>
      <c r="AH124" s="277" t="s">
        <v>152</v>
      </c>
      <c r="AI124" s="277" t="s">
        <v>92</v>
      </c>
      <c r="AJ124" s="277" t="s">
        <v>124</v>
      </c>
      <c r="AK124" s="278" t="s">
        <v>116</v>
      </c>
      <c r="AL124" s="19" t="s">
        <v>127</v>
      </c>
      <c r="AM124" s="19" t="s">
        <v>118</v>
      </c>
      <c r="AN124" s="19" t="s">
        <v>129</v>
      </c>
      <c r="AO124" s="19" t="s">
        <v>71</v>
      </c>
      <c r="AP124" s="18" t="s">
        <v>2</v>
      </c>
      <c r="AQ124" s="179" t="s">
        <v>5</v>
      </c>
      <c r="AR124" s="303" t="s">
        <v>85</v>
      </c>
      <c r="AS124" s="181" t="s">
        <v>86</v>
      </c>
      <c r="AT124" s="180" t="s">
        <v>2</v>
      </c>
      <c r="AU124" s="303" t="s">
        <v>87</v>
      </c>
      <c r="AV124" s="181" t="s">
        <v>88</v>
      </c>
      <c r="AW124" s="180" t="s">
        <v>2</v>
      </c>
      <c r="AX124" s="173" t="s">
        <v>3</v>
      </c>
      <c r="AY124" s="14"/>
      <c r="AZ124" s="157" t="s">
        <v>62</v>
      </c>
      <c r="BA124" s="144" t="s">
        <v>58</v>
      </c>
      <c r="BB124" s="19" t="s">
        <v>59</v>
      </c>
      <c r="BC124" s="19" t="s">
        <v>60</v>
      </c>
      <c r="BD124" s="145" t="s">
        <v>61</v>
      </c>
      <c r="BE124" s="144" t="s">
        <v>58</v>
      </c>
      <c r="BF124" s="19" t="s">
        <v>59</v>
      </c>
      <c r="BG124" s="19" t="s">
        <v>60</v>
      </c>
      <c r="BH124" s="19" t="s">
        <v>61</v>
      </c>
      <c r="BI124" s="173" t="s">
        <v>54</v>
      </c>
    </row>
    <row r="125" spans="1:61" ht="15.75" thickBot="1" x14ac:dyDescent="0.3">
      <c r="A125"/>
      <c r="B125" s="9">
        <v>0</v>
      </c>
      <c r="C125" s="8">
        <v>0</v>
      </c>
      <c r="D125" s="293">
        <f>GC!D10</f>
        <v>0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3">
        <f>-E87</f>
        <v>0</v>
      </c>
      <c r="S125" s="3">
        <f>R125</f>
        <v>0</v>
      </c>
      <c r="T125" s="3"/>
      <c r="U125" s="91"/>
      <c r="V125" s="3"/>
      <c r="W125" s="3">
        <f>U125-V125</f>
        <v>0</v>
      </c>
      <c r="X125" s="3"/>
      <c r="Y125" s="3">
        <f>E87</f>
        <v>0</v>
      </c>
      <c r="Z125" s="92"/>
      <c r="AA125" s="34"/>
      <c r="AB125" s="4"/>
      <c r="AC125" s="3"/>
      <c r="AD125" s="155"/>
      <c r="AE125" s="3">
        <f>R125-Z125-AB125-AD125</f>
        <v>0</v>
      </c>
      <c r="AF125" s="4"/>
      <c r="AG125" s="91">
        <f>AE125-AF125</f>
        <v>0</v>
      </c>
      <c r="AH125" s="3"/>
      <c r="AI125" s="3"/>
      <c r="AJ125" s="3"/>
      <c r="AK125" s="92"/>
      <c r="AL125" s="3">
        <f>AG125-AH125-AJ125-AK125</f>
        <v>0</v>
      </c>
      <c r="AM125" s="3"/>
      <c r="AN125" s="3"/>
      <c r="AO125" s="3">
        <f>AL125-AM125-AN125</f>
        <v>0</v>
      </c>
      <c r="AP125" s="155"/>
      <c r="AQ125" s="132">
        <f>AO125</f>
        <v>0</v>
      </c>
      <c r="AR125" s="304"/>
      <c r="AS125" s="133">
        <f>AO125</f>
        <v>0</v>
      </c>
      <c r="AT125" s="135"/>
      <c r="AU125" s="304"/>
      <c r="AV125" s="133">
        <f>AS125</f>
        <v>0</v>
      </c>
      <c r="AW125" s="135"/>
      <c r="AX125" s="139"/>
      <c r="AY125" s="14"/>
      <c r="AZ125" s="158">
        <f>-E87</f>
        <v>0</v>
      </c>
      <c r="BA125" s="146"/>
      <c r="BB125" s="172"/>
      <c r="BC125" s="172"/>
      <c r="BD125" s="147">
        <f>E87</f>
        <v>0</v>
      </c>
      <c r="BE125" s="146"/>
      <c r="BF125" s="16"/>
      <c r="BG125" s="16"/>
      <c r="BH125" s="16">
        <f>E87</f>
        <v>0</v>
      </c>
      <c r="BI125" s="137"/>
    </row>
    <row r="126" spans="1:61" x14ac:dyDescent="0.25">
      <c r="A126"/>
      <c r="B126" s="9">
        <v>1</v>
      </c>
      <c r="C126" s="13">
        <v>1</v>
      </c>
      <c r="D126" s="12">
        <f>EOMONTH(D125,1)</f>
        <v>59</v>
      </c>
      <c r="E126" s="6">
        <f>INDEX(GC!$G$25:$G$144,MATCH($D126,GC!$C$25:$C$144,0))</f>
        <v>0</v>
      </c>
      <c r="F126" s="6">
        <f>INDEX(GC!$I$25:$I$144,MATCH($D126,GC!$C$25:$C$144,0))</f>
        <v>0</v>
      </c>
      <c r="G126" s="6">
        <f>-E126*$E$24</f>
        <v>0</v>
      </c>
      <c r="H126" s="6">
        <f t="shared" ref="H126:H189" si="2">SUM(E126:G126)</f>
        <v>0</v>
      </c>
      <c r="I126" s="6">
        <f>H126*$E$25</f>
        <v>0</v>
      </c>
      <c r="J126" s="152">
        <f>IF(SUM($I$126:I126)&gt;$E$61, SUM($I$126:I126)-SUM($J$125:J125)-$E$61,0)</f>
        <v>0</v>
      </c>
      <c r="K126" s="6">
        <f t="shared" ref="K126:K189" si="3">IF(T125&gt;$E$26,H126*$E$27,0)</f>
        <v>0</v>
      </c>
      <c r="L126" s="6">
        <f t="shared" ref="L126:L189" si="4">IF(T125&gt;$E$28,H126*$E$29,0)</f>
        <v>0</v>
      </c>
      <c r="M126" s="6">
        <f t="shared" ref="M126:M189" si="5">SUM(J126:L126)*$E$30*$E$31</f>
        <v>0</v>
      </c>
      <c r="N126" s="6">
        <f t="shared" ref="N126:N189" si="6">IF(C126&lt;=$E$34,$E$32,0)</f>
        <v>0</v>
      </c>
      <c r="O126" s="6">
        <f t="shared" ref="O126:O189" si="7">IF(C126&lt;=$E$34,$E$33,0)</f>
        <v>0</v>
      </c>
      <c r="P126" s="6">
        <f t="shared" ref="P126:P189" si="8">O126*$E$35</f>
        <v>0</v>
      </c>
      <c r="Q126" s="6">
        <f t="shared" ref="Q126:Q189" si="9">H126*$E$36</f>
        <v>0</v>
      </c>
      <c r="R126" s="82">
        <f>H126-SUM(J126:Q126)</f>
        <v>0</v>
      </c>
      <c r="S126" s="6">
        <f t="shared" ref="S126:S189" si="10">S125+R126</f>
        <v>0</v>
      </c>
      <c r="T126" s="11" t="e">
        <f>SUM($R$126:R126)/($E$87)</f>
        <v>#DIV/0!</v>
      </c>
      <c r="U126" s="89">
        <f t="shared" ref="U126:U189" si="11">Y125*((1+$E$38)^(D126-D125)-1)</f>
        <v>0</v>
      </c>
      <c r="V126" s="6">
        <f t="shared" ref="V126:V189" si="12">MAX(MIN(R126,U126+W125),0)</f>
        <v>0</v>
      </c>
      <c r="W126" s="6">
        <f>W125+U126-V126</f>
        <v>0</v>
      </c>
      <c r="X126" s="6">
        <f t="shared" ref="X126:X189" si="13">MIN(R126-V126,Y125)</f>
        <v>0</v>
      </c>
      <c r="Y126" s="6">
        <f t="shared" ref="Y126:Y189" si="14">Y125-X126</f>
        <v>0</v>
      </c>
      <c r="Z126" s="90">
        <f t="shared" ref="Z126:Z189" si="15">V126*$E$39</f>
        <v>0</v>
      </c>
      <c r="AA126" s="89">
        <f t="shared" ref="AA126:AA189" si="16">R126-V126-X126</f>
        <v>0</v>
      </c>
      <c r="AB126" s="6">
        <f t="shared" ref="AB126:AB189" si="17">$E$40*AA126</f>
        <v>0</v>
      </c>
      <c r="AC126" s="82" t="e">
        <f t="shared" ref="AC126:AC157" si="18">BB126-SUM(J126:P126)-U126</f>
        <v>#NUM!</v>
      </c>
      <c r="AD126" s="90" t="e">
        <f t="shared" ref="AD126:AD189" si="19">AC126*$E$41</f>
        <v>#NUM!</v>
      </c>
      <c r="AE126" s="6" t="e">
        <f t="shared" ref="AE126:AE189" si="20">R126-Z126-AB126-AD126</f>
        <v>#NUM!</v>
      </c>
      <c r="AF126" s="6" t="e">
        <f>IF(SUM(AE127:$AE$245)-SUM(AJ127:$AK$245,AN127:$AN$245)&gt;$E$42,0,IF(SUM($AF$125:AF125)=0,$E$42-(SUM(AE127:$AE$245)-SUM(AJ127:$AK$245,AN127:$AN$245)),AE126-SUM(AJ126:AK126,AN126)))</f>
        <v>#DIV/0!</v>
      </c>
      <c r="AG126" s="89" t="e">
        <f t="shared" ref="AG126:AG189" si="21">AE126-AF126</f>
        <v>#NUM!</v>
      </c>
      <c r="AH126" s="6" t="e">
        <f>MAX(0,AG126*$E$43)</f>
        <v>#NUM!</v>
      </c>
      <c r="AI126" s="6" t="e">
        <f t="shared" ref="AI126:AI189" si="22">AH126*$E$44</f>
        <v>#NUM!</v>
      </c>
      <c r="AJ126" s="6">
        <f t="shared" ref="AJ126:AJ189" si="23">IF(C126&lt;=$E$47,$E$45,0)</f>
        <v>0</v>
      </c>
      <c r="AK126" s="90">
        <f t="shared" ref="AK126:AK189" si="24">IF(C126&lt;=$E$47,$E$46,0)</f>
        <v>0</v>
      </c>
      <c r="AL126" s="6" t="e">
        <f t="shared" ref="AL126:AL189" si="25">AG126-AH126-AJ126-AK126</f>
        <v>#NUM!</v>
      </c>
      <c r="AM126" s="6">
        <f>MAX(0,BE126*$E$48)</f>
        <v>0</v>
      </c>
      <c r="AN126" s="6">
        <f t="shared" ref="AN126:AN189" si="26">IF(C126&lt;=$E$50,$E$49,0)</f>
        <v>0</v>
      </c>
      <c r="AO126" s="6" t="e">
        <f t="shared" ref="AO126:AO189" si="27">AL126-AM126-AN126</f>
        <v>#NUM!</v>
      </c>
      <c r="AP126" s="15">
        <f>IFERROR(XIRR($AO$125:AO126,$D$125:D126),-100%)</f>
        <v>-1</v>
      </c>
      <c r="AQ126" s="129" t="e">
        <f t="shared" ref="AQ126:AQ189" si="28">AQ125+AO126</f>
        <v>#NUM!</v>
      </c>
      <c r="AR126" s="300">
        <v>0</v>
      </c>
      <c r="AS126" s="130" t="e">
        <f t="shared" ref="AS126:AS157" si="29">AO126-AR126</f>
        <v>#NUM!</v>
      </c>
      <c r="AT126" s="10">
        <f>IFERROR(XIRR($AS$125:$AS126,$D$125:$D126),-100%)</f>
        <v>-1</v>
      </c>
      <c r="AU126" s="300">
        <v>0</v>
      </c>
      <c r="AV126" s="130" t="e">
        <f t="shared" ref="AV126:AV157" si="30">AS126-AU126</f>
        <v>#NUM!</v>
      </c>
      <c r="AW126" s="131">
        <f>IFERROR(XIRR($AV$125:$AV126,$D$125:$D126),-100%)</f>
        <v>-1</v>
      </c>
      <c r="AX126" s="213">
        <f>IF(AW126&gt;0,1,0)</f>
        <v>0</v>
      </c>
      <c r="AY126" s="200" t="e">
        <f t="shared" ref="AY126:AY157" si="31">IF(AO126=0,0,AR126/AO126)</f>
        <v>#NUM!</v>
      </c>
      <c r="AZ126" s="159">
        <f t="shared" ref="AZ126:AZ157" si="32">H126</f>
        <v>0</v>
      </c>
      <c r="BA126" s="148">
        <f>IF(ABS(BD125)&lt;1,0,BD125)</f>
        <v>0</v>
      </c>
      <c r="BB126" s="6" t="e">
        <f t="shared" ref="BB126:BB157" si="33">BA126*((1+$N$7)^(D126-D125)-1)</f>
        <v>#NUM!</v>
      </c>
      <c r="BC126" s="6" t="e">
        <f t="shared" ref="BC126:BC157" si="34">H126-BB126</f>
        <v>#NUM!</v>
      </c>
      <c r="BD126" s="149" t="e">
        <f t="shared" ref="BD126:BD189" si="35">BA126-BC126</f>
        <v>#NUM!</v>
      </c>
      <c r="BE126" s="148">
        <f>IF(ABS(BH125)&lt;1,0,BH125)</f>
        <v>0</v>
      </c>
      <c r="BF126" s="6" t="e">
        <f t="shared" ref="BF126:BF157" si="36">BE126*((1+$Q$7)^(D126-D125)-1)</f>
        <v>#NUM!</v>
      </c>
      <c r="BG126" s="6" t="e">
        <f t="shared" ref="BG126:BG157" si="37">AL126-BF126</f>
        <v>#NUM!</v>
      </c>
      <c r="BH126" s="6" t="e">
        <f>BE126-BG126</f>
        <v>#NUM!</v>
      </c>
      <c r="BI126" s="138">
        <f t="shared" ref="BI126:BI157" si="38">IF(T125&gt;$E$28,2,IF(T125&gt;$E$26,1,0))</f>
        <v>0</v>
      </c>
    </row>
    <row r="127" spans="1:61" x14ac:dyDescent="0.25">
      <c r="A127"/>
      <c r="B127" s="9">
        <v>1</v>
      </c>
      <c r="C127" s="13">
        <v>2</v>
      </c>
      <c r="D127" s="12">
        <f t="shared" ref="D127:D190" si="39">EOMONTH(D126,1)</f>
        <v>91</v>
      </c>
      <c r="E127" s="6">
        <f>INDEX(GC!$G$25:$G$144,MATCH($D127,GC!$C$25:$C$144,0))</f>
        <v>0</v>
      </c>
      <c r="F127" s="6">
        <f>INDEX(GC!$I$25:$I$144,MATCH($D127,GC!$C$25:$C$144,0))</f>
        <v>0</v>
      </c>
      <c r="G127" s="6">
        <f t="shared" ref="G127:G190" si="40">-E127*$E$24</f>
        <v>0</v>
      </c>
      <c r="H127" s="6">
        <f t="shared" si="2"/>
        <v>0</v>
      </c>
      <c r="I127" s="6">
        <f>H127*$E$25</f>
        <v>0</v>
      </c>
      <c r="J127" s="6">
        <f>IF(SUM($I$126:I127)&gt;$E$61, SUM($I$126:I127)-SUM($J$125:J126)-$E$61,0)</f>
        <v>0</v>
      </c>
      <c r="K127" s="6" t="e">
        <f t="shared" si="3"/>
        <v>#DIV/0!</v>
      </c>
      <c r="L127" s="6" t="e">
        <f t="shared" si="4"/>
        <v>#DIV/0!</v>
      </c>
      <c r="M127" s="6" t="e">
        <f t="shared" si="5"/>
        <v>#DIV/0!</v>
      </c>
      <c r="N127" s="6">
        <f t="shared" si="6"/>
        <v>0</v>
      </c>
      <c r="O127" s="6">
        <f t="shared" si="7"/>
        <v>0</v>
      </c>
      <c r="P127" s="6">
        <f t="shared" si="8"/>
        <v>0</v>
      </c>
      <c r="Q127" s="6">
        <f t="shared" si="9"/>
        <v>0</v>
      </c>
      <c r="R127" s="6" t="e">
        <f t="shared" ref="R127:R190" si="41">H127-SUM(J127:Q127)</f>
        <v>#DIV/0!</v>
      </c>
      <c r="S127" s="6" t="e">
        <f t="shared" si="10"/>
        <v>#DIV/0!</v>
      </c>
      <c r="T127" s="11" t="e">
        <f>SUM($R$126:R127)/($E$87)</f>
        <v>#DIV/0!</v>
      </c>
      <c r="U127" s="89">
        <f t="shared" si="11"/>
        <v>0</v>
      </c>
      <c r="V127" s="6" t="e">
        <f t="shared" si="12"/>
        <v>#DIV/0!</v>
      </c>
      <c r="W127" s="6" t="e">
        <f t="shared" ref="W127:W190" si="42">W126+U127-V127</f>
        <v>#DIV/0!</v>
      </c>
      <c r="X127" s="6" t="e">
        <f t="shared" si="13"/>
        <v>#DIV/0!</v>
      </c>
      <c r="Y127" s="6" t="e">
        <f t="shared" si="14"/>
        <v>#DIV/0!</v>
      </c>
      <c r="Z127" s="90" t="e">
        <f t="shared" si="15"/>
        <v>#DIV/0!</v>
      </c>
      <c r="AA127" s="89" t="e">
        <f t="shared" si="16"/>
        <v>#DIV/0!</v>
      </c>
      <c r="AB127" s="6" t="e">
        <f t="shared" si="17"/>
        <v>#DIV/0!</v>
      </c>
      <c r="AC127" s="6" t="e">
        <f t="shared" si="18"/>
        <v>#NUM!</v>
      </c>
      <c r="AD127" s="90" t="e">
        <f t="shared" si="19"/>
        <v>#NUM!</v>
      </c>
      <c r="AE127" s="6" t="e">
        <f t="shared" si="20"/>
        <v>#DIV/0!</v>
      </c>
      <c r="AF127" s="6" t="e">
        <f>IF(SUM(AE128:$AE$245)-SUM(AJ128:$AK$245,AN128:$AN$245)&gt;$E$42,0,IF(SUM($AF$125:AF126)=0,$E$42-(SUM(AE128:$AE$245)-SUM(AJ128:$AK$245,AN128:$AN$245)),AE127-SUM(AJ127:AK127,AN127)))</f>
        <v>#DIV/0!</v>
      </c>
      <c r="AG127" s="89" t="e">
        <f t="shared" si="21"/>
        <v>#DIV/0!</v>
      </c>
      <c r="AH127" s="6" t="e">
        <f t="shared" ref="AH127:AH190" si="43">MAX(0,AG127*$E$43)</f>
        <v>#DIV/0!</v>
      </c>
      <c r="AI127" s="6" t="e">
        <f>AH127*$E$44</f>
        <v>#DIV/0!</v>
      </c>
      <c r="AJ127" s="6">
        <f t="shared" si="23"/>
        <v>0</v>
      </c>
      <c r="AK127" s="90">
        <f t="shared" si="24"/>
        <v>0</v>
      </c>
      <c r="AL127" s="6" t="e">
        <f t="shared" si="25"/>
        <v>#DIV/0!</v>
      </c>
      <c r="AM127" s="6" t="e">
        <f t="shared" ref="AM127:AM190" si="44">MAX(0,BE127*$E$48)</f>
        <v>#NUM!</v>
      </c>
      <c r="AN127" s="6">
        <f t="shared" si="26"/>
        <v>0</v>
      </c>
      <c r="AO127" s="6" t="e">
        <f t="shared" si="27"/>
        <v>#DIV/0!</v>
      </c>
      <c r="AP127" s="15">
        <f>IFERROR(XIRR($AO$125:AO127,$D$125:D127),-100%)</f>
        <v>-1</v>
      </c>
      <c r="AQ127" s="129" t="e">
        <f t="shared" si="28"/>
        <v>#NUM!</v>
      </c>
      <c r="AR127" s="300">
        <v>0</v>
      </c>
      <c r="AS127" s="130" t="e">
        <f t="shared" si="29"/>
        <v>#DIV/0!</v>
      </c>
      <c r="AT127" s="10">
        <f>IFERROR(XIRR($AS$125:$AS127,$D$125:$D127),-100%)</f>
        <v>-1</v>
      </c>
      <c r="AU127" s="300">
        <v>0</v>
      </c>
      <c r="AV127" s="130" t="e">
        <f t="shared" si="30"/>
        <v>#DIV/0!</v>
      </c>
      <c r="AW127" s="131">
        <f>IFERROR(XIRR($AV$125:$AV127,$D$125:$D127),-100%)</f>
        <v>-1</v>
      </c>
      <c r="AX127" s="213">
        <f t="shared" ref="AX127:AX190" si="45">IF(AW127&gt;0,1,0)</f>
        <v>0</v>
      </c>
      <c r="AY127" s="200" t="e">
        <f t="shared" si="31"/>
        <v>#DIV/0!</v>
      </c>
      <c r="AZ127" s="159">
        <f t="shared" si="32"/>
        <v>0</v>
      </c>
      <c r="BA127" s="148" t="e">
        <f t="shared" ref="BA127:BA190" si="46">IF(ABS(BD126)&lt;1,0,BD126)</f>
        <v>#NUM!</v>
      </c>
      <c r="BB127" s="6" t="e">
        <f t="shared" si="33"/>
        <v>#NUM!</v>
      </c>
      <c r="BC127" s="6" t="e">
        <f>H127-BB127</f>
        <v>#NUM!</v>
      </c>
      <c r="BD127" s="149" t="e">
        <f t="shared" si="35"/>
        <v>#NUM!</v>
      </c>
      <c r="BE127" s="148" t="e">
        <f t="shared" ref="BE127:BE190" si="47">IF(ABS(BH126)&lt;1,0,BH126)</f>
        <v>#NUM!</v>
      </c>
      <c r="BF127" s="6" t="e">
        <f t="shared" si="36"/>
        <v>#NUM!</v>
      </c>
      <c r="BG127" s="6" t="e">
        <f t="shared" si="37"/>
        <v>#DIV/0!</v>
      </c>
      <c r="BH127" s="6" t="e">
        <f t="shared" ref="BH127:BH190" si="48">BE127-BG127</f>
        <v>#NUM!</v>
      </c>
      <c r="BI127" s="138" t="e">
        <f t="shared" si="38"/>
        <v>#DIV/0!</v>
      </c>
    </row>
    <row r="128" spans="1:61" x14ac:dyDescent="0.25">
      <c r="A128"/>
      <c r="B128" s="9">
        <v>1</v>
      </c>
      <c r="C128" s="13">
        <v>3</v>
      </c>
      <c r="D128" s="12">
        <f t="shared" si="39"/>
        <v>121</v>
      </c>
      <c r="E128" s="6">
        <f>INDEX(GC!$G$25:$G$144,MATCH($D128,GC!$C$25:$C$144,0))</f>
        <v>0</v>
      </c>
      <c r="F128" s="6">
        <f>INDEX(GC!$I$25:$I$144,MATCH($D128,GC!$C$25:$C$144,0))</f>
        <v>0</v>
      </c>
      <c r="G128" s="6">
        <f t="shared" si="40"/>
        <v>0</v>
      </c>
      <c r="H128" s="6">
        <f t="shared" si="2"/>
        <v>0</v>
      </c>
      <c r="I128" s="6">
        <f>H128*$E$25</f>
        <v>0</v>
      </c>
      <c r="J128" s="6">
        <f>IF(SUM($I$126:I128)&gt;$E$61, SUM($I$126:I128)-SUM($J$125:J127)-$E$61,0)</f>
        <v>0</v>
      </c>
      <c r="K128" s="6" t="e">
        <f t="shared" si="3"/>
        <v>#DIV/0!</v>
      </c>
      <c r="L128" s="6" t="e">
        <f t="shared" si="4"/>
        <v>#DIV/0!</v>
      </c>
      <c r="M128" s="6" t="e">
        <f t="shared" si="5"/>
        <v>#DIV/0!</v>
      </c>
      <c r="N128" s="6">
        <f t="shared" si="6"/>
        <v>0</v>
      </c>
      <c r="O128" s="6">
        <f t="shared" si="7"/>
        <v>0</v>
      </c>
      <c r="P128" s="6">
        <f t="shared" si="8"/>
        <v>0</v>
      </c>
      <c r="Q128" s="6">
        <f t="shared" si="9"/>
        <v>0</v>
      </c>
      <c r="R128" s="6" t="e">
        <f t="shared" si="41"/>
        <v>#DIV/0!</v>
      </c>
      <c r="S128" s="6" t="e">
        <f t="shared" si="10"/>
        <v>#DIV/0!</v>
      </c>
      <c r="T128" s="11" t="e">
        <f>SUM($R$126:R128)/($E$87)</f>
        <v>#DIV/0!</v>
      </c>
      <c r="U128" s="89" t="e">
        <f>Y127*((1+$E$38)^(D128-D127)-1)</f>
        <v>#DIV/0!</v>
      </c>
      <c r="V128" s="6" t="e">
        <f t="shared" si="12"/>
        <v>#DIV/0!</v>
      </c>
      <c r="W128" s="6" t="e">
        <f t="shared" si="42"/>
        <v>#DIV/0!</v>
      </c>
      <c r="X128" s="6" t="e">
        <f t="shared" si="13"/>
        <v>#DIV/0!</v>
      </c>
      <c r="Y128" s="6" t="e">
        <f t="shared" si="14"/>
        <v>#DIV/0!</v>
      </c>
      <c r="Z128" s="90" t="e">
        <f t="shared" si="15"/>
        <v>#DIV/0!</v>
      </c>
      <c r="AA128" s="89" t="e">
        <f t="shared" si="16"/>
        <v>#DIV/0!</v>
      </c>
      <c r="AB128" s="6" t="e">
        <f t="shared" si="17"/>
        <v>#DIV/0!</v>
      </c>
      <c r="AC128" s="6" t="e">
        <f t="shared" si="18"/>
        <v>#NUM!</v>
      </c>
      <c r="AD128" s="90" t="e">
        <f t="shared" si="19"/>
        <v>#NUM!</v>
      </c>
      <c r="AE128" s="6" t="e">
        <f t="shared" si="20"/>
        <v>#DIV/0!</v>
      </c>
      <c r="AF128" s="6" t="e">
        <f>IF(SUM(AE129:$AE$245)-SUM(AJ129:$AK$245,AN129:$AN$245)&gt;$E$42,0,IF(SUM($AF$125:AF127)=0,$E$42-(SUM(AE129:$AE$245)-SUM(AJ129:$AK$245,AN129:$AN$245)),AE128-SUM(AJ128:AK128,AN128)))</f>
        <v>#DIV/0!</v>
      </c>
      <c r="AG128" s="89" t="e">
        <f t="shared" si="21"/>
        <v>#DIV/0!</v>
      </c>
      <c r="AH128" s="6" t="e">
        <f t="shared" si="43"/>
        <v>#DIV/0!</v>
      </c>
      <c r="AI128" s="6" t="e">
        <f t="shared" si="22"/>
        <v>#DIV/0!</v>
      </c>
      <c r="AJ128" s="6">
        <f t="shared" si="23"/>
        <v>0</v>
      </c>
      <c r="AK128" s="90">
        <f t="shared" si="24"/>
        <v>0</v>
      </c>
      <c r="AL128" s="6" t="e">
        <f t="shared" si="25"/>
        <v>#DIV/0!</v>
      </c>
      <c r="AM128" s="6" t="e">
        <f t="shared" si="44"/>
        <v>#NUM!</v>
      </c>
      <c r="AN128" s="6">
        <f t="shared" si="26"/>
        <v>0</v>
      </c>
      <c r="AO128" s="6" t="e">
        <f t="shared" si="27"/>
        <v>#DIV/0!</v>
      </c>
      <c r="AP128" s="15">
        <f>IFERROR(XIRR($AO$125:AO128,$D$125:D128),-100%)</f>
        <v>-1</v>
      </c>
      <c r="AQ128" s="129" t="e">
        <f t="shared" si="28"/>
        <v>#NUM!</v>
      </c>
      <c r="AR128" s="300">
        <v>0</v>
      </c>
      <c r="AS128" s="130" t="e">
        <f t="shared" si="29"/>
        <v>#DIV/0!</v>
      </c>
      <c r="AT128" s="10">
        <f>IFERROR(XIRR($AS$125:$AS128,$D$125:$D128),-100%)</f>
        <v>-1</v>
      </c>
      <c r="AU128" s="300">
        <v>0</v>
      </c>
      <c r="AV128" s="130" t="e">
        <f t="shared" si="30"/>
        <v>#DIV/0!</v>
      </c>
      <c r="AW128" s="131">
        <f>IFERROR(XIRR($AV$125:$AV128,$D$125:$D128),-100%)</f>
        <v>-1</v>
      </c>
      <c r="AX128" s="213">
        <f t="shared" si="45"/>
        <v>0</v>
      </c>
      <c r="AY128" s="200" t="e">
        <f t="shared" si="31"/>
        <v>#DIV/0!</v>
      </c>
      <c r="AZ128" s="159">
        <f t="shared" si="32"/>
        <v>0</v>
      </c>
      <c r="BA128" s="148" t="e">
        <f t="shared" si="46"/>
        <v>#NUM!</v>
      </c>
      <c r="BB128" s="6" t="e">
        <f t="shared" si="33"/>
        <v>#NUM!</v>
      </c>
      <c r="BC128" s="6" t="e">
        <f t="shared" si="34"/>
        <v>#NUM!</v>
      </c>
      <c r="BD128" s="149" t="e">
        <f t="shared" si="35"/>
        <v>#NUM!</v>
      </c>
      <c r="BE128" s="148" t="e">
        <f t="shared" si="47"/>
        <v>#NUM!</v>
      </c>
      <c r="BF128" s="6" t="e">
        <f t="shared" si="36"/>
        <v>#NUM!</v>
      </c>
      <c r="BG128" s="6" t="e">
        <f t="shared" si="37"/>
        <v>#DIV/0!</v>
      </c>
      <c r="BH128" s="6" t="e">
        <f t="shared" si="48"/>
        <v>#NUM!</v>
      </c>
      <c r="BI128" s="138" t="e">
        <f t="shared" si="38"/>
        <v>#DIV/0!</v>
      </c>
    </row>
    <row r="129" spans="1:61" x14ac:dyDescent="0.25">
      <c r="A129"/>
      <c r="B129" s="9">
        <v>1</v>
      </c>
      <c r="C129" s="13">
        <v>4</v>
      </c>
      <c r="D129" s="12">
        <f t="shared" si="39"/>
        <v>152</v>
      </c>
      <c r="E129" s="6">
        <f>INDEX(GC!$G$25:$G$144,MATCH($D129,GC!$C$25:$C$144,0))</f>
        <v>0</v>
      </c>
      <c r="F129" s="6">
        <f>INDEX(GC!$I$25:$I$144,MATCH($D129,GC!$C$25:$C$144,0))</f>
        <v>0</v>
      </c>
      <c r="G129" s="6">
        <f t="shared" si="40"/>
        <v>0</v>
      </c>
      <c r="H129" s="6">
        <f t="shared" si="2"/>
        <v>0</v>
      </c>
      <c r="I129" s="6">
        <f>H129*$E$25</f>
        <v>0</v>
      </c>
      <c r="J129" s="6">
        <f>IF(SUM($I$126:I129)&gt;$E$61, SUM($I$126:I129)-SUM($J$125:J128)-$E$61,0)</f>
        <v>0</v>
      </c>
      <c r="K129" s="6" t="e">
        <f t="shared" si="3"/>
        <v>#DIV/0!</v>
      </c>
      <c r="L129" s="6" t="e">
        <f t="shared" si="4"/>
        <v>#DIV/0!</v>
      </c>
      <c r="M129" s="6" t="e">
        <f t="shared" si="5"/>
        <v>#DIV/0!</v>
      </c>
      <c r="N129" s="6">
        <f t="shared" si="6"/>
        <v>0</v>
      </c>
      <c r="O129" s="6">
        <f t="shared" si="7"/>
        <v>0</v>
      </c>
      <c r="P129" s="6">
        <f t="shared" si="8"/>
        <v>0</v>
      </c>
      <c r="Q129" s="6">
        <f t="shared" si="9"/>
        <v>0</v>
      </c>
      <c r="R129" s="6" t="e">
        <f t="shared" si="41"/>
        <v>#DIV/0!</v>
      </c>
      <c r="S129" s="6" t="e">
        <f t="shared" si="10"/>
        <v>#DIV/0!</v>
      </c>
      <c r="T129" s="11" t="e">
        <f>SUM($R$126:R129)/($E$87)</f>
        <v>#DIV/0!</v>
      </c>
      <c r="U129" s="89" t="e">
        <f t="shared" si="11"/>
        <v>#DIV/0!</v>
      </c>
      <c r="V129" s="6" t="e">
        <f t="shared" si="12"/>
        <v>#DIV/0!</v>
      </c>
      <c r="W129" s="6" t="e">
        <f t="shared" si="42"/>
        <v>#DIV/0!</v>
      </c>
      <c r="X129" s="6" t="e">
        <f t="shared" si="13"/>
        <v>#DIV/0!</v>
      </c>
      <c r="Y129" s="6" t="e">
        <f t="shared" si="14"/>
        <v>#DIV/0!</v>
      </c>
      <c r="Z129" s="90" t="e">
        <f t="shared" si="15"/>
        <v>#DIV/0!</v>
      </c>
      <c r="AA129" s="89" t="e">
        <f t="shared" si="16"/>
        <v>#DIV/0!</v>
      </c>
      <c r="AB129" s="6" t="e">
        <f t="shared" si="17"/>
        <v>#DIV/0!</v>
      </c>
      <c r="AC129" s="6" t="e">
        <f t="shared" si="18"/>
        <v>#NUM!</v>
      </c>
      <c r="AD129" s="90" t="e">
        <f t="shared" si="19"/>
        <v>#NUM!</v>
      </c>
      <c r="AE129" s="6" t="e">
        <f t="shared" si="20"/>
        <v>#DIV/0!</v>
      </c>
      <c r="AF129" s="6" t="e">
        <f>IF(SUM(AE130:$AE$245)-SUM(AJ130:$AK$245,AN130:$AN$245)&gt;$E$42,0,IF(SUM($AF$125:AF128)=0,$E$42-(SUM(AE130:$AE$245)-SUM(AJ130:$AK$245,AN130:$AN$245)),AE129-SUM(AJ129:AK129,AN129)))</f>
        <v>#DIV/0!</v>
      </c>
      <c r="AG129" s="89" t="e">
        <f t="shared" si="21"/>
        <v>#DIV/0!</v>
      </c>
      <c r="AH129" s="6" t="e">
        <f t="shared" si="43"/>
        <v>#DIV/0!</v>
      </c>
      <c r="AI129" s="6" t="e">
        <f t="shared" si="22"/>
        <v>#DIV/0!</v>
      </c>
      <c r="AJ129" s="6">
        <f t="shared" si="23"/>
        <v>0</v>
      </c>
      <c r="AK129" s="90">
        <f t="shared" si="24"/>
        <v>0</v>
      </c>
      <c r="AL129" s="6" t="e">
        <f t="shared" si="25"/>
        <v>#DIV/0!</v>
      </c>
      <c r="AM129" s="6" t="e">
        <f t="shared" si="44"/>
        <v>#NUM!</v>
      </c>
      <c r="AN129" s="6">
        <f t="shared" si="26"/>
        <v>0</v>
      </c>
      <c r="AO129" s="6" t="e">
        <f t="shared" si="27"/>
        <v>#DIV/0!</v>
      </c>
      <c r="AP129" s="15">
        <f>IFERROR(XIRR($AO$125:AO129,$D$125:D129),-100%)</f>
        <v>-1</v>
      </c>
      <c r="AQ129" s="129" t="e">
        <f t="shared" si="28"/>
        <v>#NUM!</v>
      </c>
      <c r="AR129" s="300">
        <v>0</v>
      </c>
      <c r="AS129" s="130" t="e">
        <f t="shared" si="29"/>
        <v>#DIV/0!</v>
      </c>
      <c r="AT129" s="10">
        <f>IFERROR(XIRR($AS$125:$AS129,$D$125:$D129),-100%)</f>
        <v>-1</v>
      </c>
      <c r="AU129" s="300">
        <v>0</v>
      </c>
      <c r="AV129" s="130" t="e">
        <f t="shared" si="30"/>
        <v>#DIV/0!</v>
      </c>
      <c r="AW129" s="131">
        <f>IFERROR(XIRR($AV$125:$AV129,$D$125:$D129),-100%)</f>
        <v>-1</v>
      </c>
      <c r="AX129" s="213">
        <f t="shared" si="45"/>
        <v>0</v>
      </c>
      <c r="AY129" s="200" t="e">
        <f t="shared" si="31"/>
        <v>#DIV/0!</v>
      </c>
      <c r="AZ129" s="159">
        <f t="shared" si="32"/>
        <v>0</v>
      </c>
      <c r="BA129" s="148" t="e">
        <f t="shared" si="46"/>
        <v>#NUM!</v>
      </c>
      <c r="BB129" s="6" t="e">
        <f t="shared" si="33"/>
        <v>#NUM!</v>
      </c>
      <c r="BC129" s="6" t="e">
        <f t="shared" si="34"/>
        <v>#NUM!</v>
      </c>
      <c r="BD129" s="149" t="e">
        <f t="shared" si="35"/>
        <v>#NUM!</v>
      </c>
      <c r="BE129" s="148" t="e">
        <f t="shared" si="47"/>
        <v>#NUM!</v>
      </c>
      <c r="BF129" s="6" t="e">
        <f t="shared" si="36"/>
        <v>#NUM!</v>
      </c>
      <c r="BG129" s="6" t="e">
        <f t="shared" si="37"/>
        <v>#DIV/0!</v>
      </c>
      <c r="BH129" s="6" t="e">
        <f t="shared" si="48"/>
        <v>#NUM!</v>
      </c>
      <c r="BI129" s="138" t="e">
        <f t="shared" si="38"/>
        <v>#DIV/0!</v>
      </c>
    </row>
    <row r="130" spans="1:61" x14ac:dyDescent="0.25">
      <c r="A130"/>
      <c r="B130" s="9">
        <v>1</v>
      </c>
      <c r="C130" s="13">
        <v>5</v>
      </c>
      <c r="D130" s="12">
        <f t="shared" si="39"/>
        <v>182</v>
      </c>
      <c r="E130" s="6">
        <f>INDEX(GC!$G$25:$G$144,MATCH($D130,GC!$C$25:$C$144,0))</f>
        <v>0</v>
      </c>
      <c r="F130" s="6">
        <f>INDEX(GC!$I$25:$I$144,MATCH($D130,GC!$C$25:$C$144,0))</f>
        <v>0</v>
      </c>
      <c r="G130" s="6">
        <f t="shared" si="40"/>
        <v>0</v>
      </c>
      <c r="H130" s="6">
        <f t="shared" si="2"/>
        <v>0</v>
      </c>
      <c r="I130" s="6">
        <f t="shared" ref="I130:I138" si="49">H130*$E$25</f>
        <v>0</v>
      </c>
      <c r="J130" s="6">
        <f>IF(SUM($I$126:I130)&gt;$E$61, SUM($I$126:I130)-SUM($J$125:J129)-$E$61,0)</f>
        <v>0</v>
      </c>
      <c r="K130" s="6" t="e">
        <f t="shared" si="3"/>
        <v>#DIV/0!</v>
      </c>
      <c r="L130" s="6" t="e">
        <f t="shared" si="4"/>
        <v>#DIV/0!</v>
      </c>
      <c r="M130" s="6" t="e">
        <f t="shared" si="5"/>
        <v>#DIV/0!</v>
      </c>
      <c r="N130" s="6">
        <f t="shared" si="6"/>
        <v>0</v>
      </c>
      <c r="O130" s="6">
        <f t="shared" si="7"/>
        <v>0</v>
      </c>
      <c r="P130" s="6">
        <f t="shared" si="8"/>
        <v>0</v>
      </c>
      <c r="Q130" s="6">
        <f t="shared" si="9"/>
        <v>0</v>
      </c>
      <c r="R130" s="6" t="e">
        <f t="shared" si="41"/>
        <v>#DIV/0!</v>
      </c>
      <c r="S130" s="6" t="e">
        <f t="shared" si="10"/>
        <v>#DIV/0!</v>
      </c>
      <c r="T130" s="11" t="e">
        <f>SUM($R$126:R130)/($E$87)</f>
        <v>#DIV/0!</v>
      </c>
      <c r="U130" s="89" t="e">
        <f t="shared" si="11"/>
        <v>#DIV/0!</v>
      </c>
      <c r="V130" s="6" t="e">
        <f t="shared" si="12"/>
        <v>#DIV/0!</v>
      </c>
      <c r="W130" s="6" t="e">
        <f t="shared" si="42"/>
        <v>#DIV/0!</v>
      </c>
      <c r="X130" s="6" t="e">
        <f t="shared" si="13"/>
        <v>#DIV/0!</v>
      </c>
      <c r="Y130" s="6" t="e">
        <f t="shared" si="14"/>
        <v>#DIV/0!</v>
      </c>
      <c r="Z130" s="90" t="e">
        <f t="shared" si="15"/>
        <v>#DIV/0!</v>
      </c>
      <c r="AA130" s="89" t="e">
        <f t="shared" si="16"/>
        <v>#DIV/0!</v>
      </c>
      <c r="AB130" s="6" t="e">
        <f t="shared" si="17"/>
        <v>#DIV/0!</v>
      </c>
      <c r="AC130" s="6" t="e">
        <f t="shared" si="18"/>
        <v>#NUM!</v>
      </c>
      <c r="AD130" s="90" t="e">
        <f t="shared" si="19"/>
        <v>#NUM!</v>
      </c>
      <c r="AE130" s="6" t="e">
        <f t="shared" si="20"/>
        <v>#DIV/0!</v>
      </c>
      <c r="AF130" s="6" t="e">
        <f>IF(SUM(AE131:$AE$245)-SUM(AJ131:$AK$245,AN131:$AN$245)&gt;$E$42,0,IF(SUM($AF$125:AF129)=0,$E$42-(SUM(AE131:$AE$245)-SUM(AJ131:$AK$245,AN131:$AN$245)),AE130-SUM(AJ130:AK130,AN130)))</f>
        <v>#DIV/0!</v>
      </c>
      <c r="AG130" s="89" t="e">
        <f t="shared" si="21"/>
        <v>#DIV/0!</v>
      </c>
      <c r="AH130" s="6" t="e">
        <f t="shared" si="43"/>
        <v>#DIV/0!</v>
      </c>
      <c r="AI130" s="6" t="e">
        <f t="shared" si="22"/>
        <v>#DIV/0!</v>
      </c>
      <c r="AJ130" s="6">
        <f t="shared" si="23"/>
        <v>0</v>
      </c>
      <c r="AK130" s="90">
        <f t="shared" si="24"/>
        <v>0</v>
      </c>
      <c r="AL130" s="6" t="e">
        <f t="shared" si="25"/>
        <v>#DIV/0!</v>
      </c>
      <c r="AM130" s="6" t="e">
        <f t="shared" si="44"/>
        <v>#NUM!</v>
      </c>
      <c r="AN130" s="6">
        <f t="shared" si="26"/>
        <v>0</v>
      </c>
      <c r="AO130" s="6" t="e">
        <f t="shared" si="27"/>
        <v>#DIV/0!</v>
      </c>
      <c r="AP130" s="15">
        <f>IFERROR(XIRR($AO$125:AO130,$D$125:D130),-100%)</f>
        <v>-1</v>
      </c>
      <c r="AQ130" s="129" t="e">
        <f t="shared" si="28"/>
        <v>#NUM!</v>
      </c>
      <c r="AR130" s="300">
        <v>0</v>
      </c>
      <c r="AS130" s="130" t="e">
        <f t="shared" si="29"/>
        <v>#DIV/0!</v>
      </c>
      <c r="AT130" s="10">
        <f>IFERROR(XIRR($AS$125:$AS130,$D$125:$D130),-100%)</f>
        <v>-1</v>
      </c>
      <c r="AU130" s="300">
        <v>0</v>
      </c>
      <c r="AV130" s="130" t="e">
        <f t="shared" si="30"/>
        <v>#DIV/0!</v>
      </c>
      <c r="AW130" s="131">
        <f>IFERROR(XIRR($AV$125:$AV130,$D$125:$D130),-100%)</f>
        <v>-1</v>
      </c>
      <c r="AX130" s="213">
        <f t="shared" si="45"/>
        <v>0</v>
      </c>
      <c r="AY130" s="200" t="e">
        <f t="shared" si="31"/>
        <v>#DIV/0!</v>
      </c>
      <c r="AZ130" s="159">
        <f t="shared" si="32"/>
        <v>0</v>
      </c>
      <c r="BA130" s="148" t="e">
        <f t="shared" si="46"/>
        <v>#NUM!</v>
      </c>
      <c r="BB130" s="6" t="e">
        <f t="shared" si="33"/>
        <v>#NUM!</v>
      </c>
      <c r="BC130" s="6" t="e">
        <f t="shared" si="34"/>
        <v>#NUM!</v>
      </c>
      <c r="BD130" s="149" t="e">
        <f t="shared" si="35"/>
        <v>#NUM!</v>
      </c>
      <c r="BE130" s="148" t="e">
        <f t="shared" si="47"/>
        <v>#NUM!</v>
      </c>
      <c r="BF130" s="6" t="e">
        <f t="shared" si="36"/>
        <v>#NUM!</v>
      </c>
      <c r="BG130" s="6" t="e">
        <f t="shared" si="37"/>
        <v>#DIV/0!</v>
      </c>
      <c r="BH130" s="6" t="e">
        <f t="shared" si="48"/>
        <v>#NUM!</v>
      </c>
      <c r="BI130" s="138" t="e">
        <f t="shared" si="38"/>
        <v>#DIV/0!</v>
      </c>
    </row>
    <row r="131" spans="1:61" x14ac:dyDescent="0.25">
      <c r="A131"/>
      <c r="B131" s="9">
        <v>1</v>
      </c>
      <c r="C131" s="13">
        <v>6</v>
      </c>
      <c r="D131" s="12">
        <f t="shared" si="39"/>
        <v>213</v>
      </c>
      <c r="E131" s="6">
        <f>INDEX(GC!$G$25:$G$144,MATCH($D131,GC!$C$25:$C$144,0))</f>
        <v>0</v>
      </c>
      <c r="F131" s="6">
        <f>INDEX(GC!$I$25:$I$144,MATCH($D131,GC!$C$25:$C$144,0))</f>
        <v>0</v>
      </c>
      <c r="G131" s="6">
        <f t="shared" si="40"/>
        <v>0</v>
      </c>
      <c r="H131" s="6">
        <f t="shared" si="2"/>
        <v>0</v>
      </c>
      <c r="I131" s="6">
        <f t="shared" si="49"/>
        <v>0</v>
      </c>
      <c r="J131" s="6">
        <f>IF(SUM($I$126:I131)&gt;$E$61, SUM($I$126:I131)-SUM($J$125:J130)-$E$61,0)</f>
        <v>0</v>
      </c>
      <c r="K131" s="6" t="e">
        <f t="shared" si="3"/>
        <v>#DIV/0!</v>
      </c>
      <c r="L131" s="6" t="e">
        <f t="shared" si="4"/>
        <v>#DIV/0!</v>
      </c>
      <c r="M131" s="6" t="e">
        <f t="shared" si="5"/>
        <v>#DIV/0!</v>
      </c>
      <c r="N131" s="6">
        <f t="shared" si="6"/>
        <v>0</v>
      </c>
      <c r="O131" s="6">
        <f t="shared" si="7"/>
        <v>0</v>
      </c>
      <c r="P131" s="6">
        <f t="shared" si="8"/>
        <v>0</v>
      </c>
      <c r="Q131" s="6">
        <f t="shared" si="9"/>
        <v>0</v>
      </c>
      <c r="R131" s="6" t="e">
        <f t="shared" si="41"/>
        <v>#DIV/0!</v>
      </c>
      <c r="S131" s="6" t="e">
        <f t="shared" si="10"/>
        <v>#DIV/0!</v>
      </c>
      <c r="T131" s="11" t="e">
        <f>SUM($R$126:R131)/($E$87)</f>
        <v>#DIV/0!</v>
      </c>
      <c r="U131" s="89" t="e">
        <f t="shared" si="11"/>
        <v>#DIV/0!</v>
      </c>
      <c r="V131" s="6" t="e">
        <f t="shared" si="12"/>
        <v>#DIV/0!</v>
      </c>
      <c r="W131" s="6" t="e">
        <f t="shared" si="42"/>
        <v>#DIV/0!</v>
      </c>
      <c r="X131" s="6" t="e">
        <f t="shared" si="13"/>
        <v>#DIV/0!</v>
      </c>
      <c r="Y131" s="6" t="e">
        <f t="shared" si="14"/>
        <v>#DIV/0!</v>
      </c>
      <c r="Z131" s="90" t="e">
        <f t="shared" si="15"/>
        <v>#DIV/0!</v>
      </c>
      <c r="AA131" s="89" t="e">
        <f t="shared" si="16"/>
        <v>#DIV/0!</v>
      </c>
      <c r="AB131" s="6" t="e">
        <f t="shared" si="17"/>
        <v>#DIV/0!</v>
      </c>
      <c r="AC131" s="6" t="e">
        <f t="shared" si="18"/>
        <v>#NUM!</v>
      </c>
      <c r="AD131" s="90" t="e">
        <f t="shared" si="19"/>
        <v>#NUM!</v>
      </c>
      <c r="AE131" s="6" t="e">
        <f t="shared" si="20"/>
        <v>#DIV/0!</v>
      </c>
      <c r="AF131" s="6" t="e">
        <f>IF(SUM(AE132:$AE$245)-SUM(AJ132:$AK$245,AN132:$AN$245)&gt;$E$42,0,IF(SUM($AF$125:AF130)=0,$E$42-(SUM(AE132:$AE$245)-SUM(AJ132:$AK$245,AN132:$AN$245)),AE131-SUM(AJ131:AK131,AN131)))</f>
        <v>#DIV/0!</v>
      </c>
      <c r="AG131" s="89" t="e">
        <f t="shared" si="21"/>
        <v>#DIV/0!</v>
      </c>
      <c r="AH131" s="6" t="e">
        <f t="shared" si="43"/>
        <v>#DIV/0!</v>
      </c>
      <c r="AI131" s="6" t="e">
        <f t="shared" si="22"/>
        <v>#DIV/0!</v>
      </c>
      <c r="AJ131" s="6">
        <f t="shared" si="23"/>
        <v>0</v>
      </c>
      <c r="AK131" s="90">
        <f t="shared" si="24"/>
        <v>0</v>
      </c>
      <c r="AL131" s="6" t="e">
        <f t="shared" si="25"/>
        <v>#DIV/0!</v>
      </c>
      <c r="AM131" s="6" t="e">
        <f t="shared" si="44"/>
        <v>#NUM!</v>
      </c>
      <c r="AN131" s="6">
        <f t="shared" si="26"/>
        <v>0</v>
      </c>
      <c r="AO131" s="6" t="e">
        <f t="shared" si="27"/>
        <v>#DIV/0!</v>
      </c>
      <c r="AP131" s="15">
        <f>IFERROR(XIRR($AO$125:AO131,$D$125:D131),-100%)</f>
        <v>-1</v>
      </c>
      <c r="AQ131" s="129" t="e">
        <f t="shared" si="28"/>
        <v>#NUM!</v>
      </c>
      <c r="AR131" s="300">
        <v>0</v>
      </c>
      <c r="AS131" s="130" t="e">
        <f t="shared" si="29"/>
        <v>#DIV/0!</v>
      </c>
      <c r="AT131" s="10">
        <f>IFERROR(XIRR($AS$125:$AS131,$D$125:$D131),-100%)</f>
        <v>-1</v>
      </c>
      <c r="AU131" s="300">
        <v>0</v>
      </c>
      <c r="AV131" s="130" t="e">
        <f t="shared" si="30"/>
        <v>#DIV/0!</v>
      </c>
      <c r="AW131" s="131">
        <f>IFERROR(XIRR($AV$125:$AV131,$D$125:$D131),-100%)</f>
        <v>-1</v>
      </c>
      <c r="AX131" s="213">
        <f t="shared" si="45"/>
        <v>0</v>
      </c>
      <c r="AY131" s="200" t="e">
        <f t="shared" si="31"/>
        <v>#DIV/0!</v>
      </c>
      <c r="AZ131" s="159">
        <f t="shared" si="32"/>
        <v>0</v>
      </c>
      <c r="BA131" s="148" t="e">
        <f t="shared" si="46"/>
        <v>#NUM!</v>
      </c>
      <c r="BB131" s="6" t="e">
        <f t="shared" si="33"/>
        <v>#NUM!</v>
      </c>
      <c r="BC131" s="6" t="e">
        <f t="shared" si="34"/>
        <v>#NUM!</v>
      </c>
      <c r="BD131" s="149" t="e">
        <f t="shared" si="35"/>
        <v>#NUM!</v>
      </c>
      <c r="BE131" s="148" t="e">
        <f t="shared" si="47"/>
        <v>#NUM!</v>
      </c>
      <c r="BF131" s="6" t="e">
        <f t="shared" si="36"/>
        <v>#NUM!</v>
      </c>
      <c r="BG131" s="6" t="e">
        <f t="shared" si="37"/>
        <v>#DIV/0!</v>
      </c>
      <c r="BH131" s="6" t="e">
        <f t="shared" si="48"/>
        <v>#NUM!</v>
      </c>
      <c r="BI131" s="138" t="e">
        <f t="shared" si="38"/>
        <v>#DIV/0!</v>
      </c>
    </row>
    <row r="132" spans="1:61" x14ac:dyDescent="0.25">
      <c r="A132"/>
      <c r="B132" s="9">
        <v>1</v>
      </c>
      <c r="C132" s="13">
        <v>7</v>
      </c>
      <c r="D132" s="12">
        <f t="shared" si="39"/>
        <v>244</v>
      </c>
      <c r="E132" s="6">
        <f>INDEX(GC!$G$25:$G$144,MATCH($D132,GC!$C$25:$C$144,0))</f>
        <v>0</v>
      </c>
      <c r="F132" s="6">
        <f>INDEX(GC!$I$25:$I$144,MATCH($D132,GC!$C$25:$C$144,0))</f>
        <v>0</v>
      </c>
      <c r="G132" s="6">
        <f t="shared" si="40"/>
        <v>0</v>
      </c>
      <c r="H132" s="6">
        <f t="shared" si="2"/>
        <v>0</v>
      </c>
      <c r="I132" s="6">
        <f t="shared" si="49"/>
        <v>0</v>
      </c>
      <c r="J132" s="6">
        <f>IF(SUM($I$126:I132)&gt;$E$61, SUM($I$126:I132)-SUM($J$125:J131)-$E$61,0)</f>
        <v>0</v>
      </c>
      <c r="K132" s="6" t="e">
        <f t="shared" si="3"/>
        <v>#DIV/0!</v>
      </c>
      <c r="L132" s="6" t="e">
        <f t="shared" si="4"/>
        <v>#DIV/0!</v>
      </c>
      <c r="M132" s="6" t="e">
        <f t="shared" si="5"/>
        <v>#DIV/0!</v>
      </c>
      <c r="N132" s="6">
        <f t="shared" si="6"/>
        <v>0</v>
      </c>
      <c r="O132" s="6">
        <f t="shared" si="7"/>
        <v>0</v>
      </c>
      <c r="P132" s="6">
        <f t="shared" si="8"/>
        <v>0</v>
      </c>
      <c r="Q132" s="6">
        <f t="shared" si="9"/>
        <v>0</v>
      </c>
      <c r="R132" s="6" t="e">
        <f t="shared" si="41"/>
        <v>#DIV/0!</v>
      </c>
      <c r="S132" s="6" t="e">
        <f t="shared" si="10"/>
        <v>#DIV/0!</v>
      </c>
      <c r="T132" s="11" t="e">
        <f>SUM($R$126:R132)/($E$87)</f>
        <v>#DIV/0!</v>
      </c>
      <c r="U132" s="89" t="e">
        <f t="shared" si="11"/>
        <v>#DIV/0!</v>
      </c>
      <c r="V132" s="6" t="e">
        <f t="shared" si="12"/>
        <v>#DIV/0!</v>
      </c>
      <c r="W132" s="6" t="e">
        <f t="shared" si="42"/>
        <v>#DIV/0!</v>
      </c>
      <c r="X132" s="6" t="e">
        <f t="shared" si="13"/>
        <v>#DIV/0!</v>
      </c>
      <c r="Y132" s="6" t="e">
        <f t="shared" si="14"/>
        <v>#DIV/0!</v>
      </c>
      <c r="Z132" s="90" t="e">
        <f t="shared" si="15"/>
        <v>#DIV/0!</v>
      </c>
      <c r="AA132" s="89" t="e">
        <f t="shared" si="16"/>
        <v>#DIV/0!</v>
      </c>
      <c r="AB132" s="6" t="e">
        <f t="shared" si="17"/>
        <v>#DIV/0!</v>
      </c>
      <c r="AC132" s="6" t="e">
        <f t="shared" si="18"/>
        <v>#NUM!</v>
      </c>
      <c r="AD132" s="90" t="e">
        <f t="shared" si="19"/>
        <v>#NUM!</v>
      </c>
      <c r="AE132" s="6" t="e">
        <f t="shared" si="20"/>
        <v>#DIV/0!</v>
      </c>
      <c r="AF132" s="6" t="e">
        <f>IF(SUM(AE133:$AE$245)-SUM(AJ133:$AK$245,AN133:$AN$245)&gt;$E$42,0,IF(SUM($AF$125:AF131)=0,$E$42-(SUM(AE133:$AE$245)-SUM(AJ133:$AK$245,AN133:$AN$245)),AE132-SUM(AJ132:AK132,AN132)))</f>
        <v>#DIV/0!</v>
      </c>
      <c r="AG132" s="89" t="e">
        <f t="shared" si="21"/>
        <v>#DIV/0!</v>
      </c>
      <c r="AH132" s="6" t="e">
        <f t="shared" si="43"/>
        <v>#DIV/0!</v>
      </c>
      <c r="AI132" s="6" t="e">
        <f t="shared" si="22"/>
        <v>#DIV/0!</v>
      </c>
      <c r="AJ132" s="6">
        <f t="shared" si="23"/>
        <v>0</v>
      </c>
      <c r="AK132" s="90">
        <f t="shared" si="24"/>
        <v>0</v>
      </c>
      <c r="AL132" s="6" t="e">
        <f t="shared" si="25"/>
        <v>#DIV/0!</v>
      </c>
      <c r="AM132" s="6" t="e">
        <f t="shared" si="44"/>
        <v>#NUM!</v>
      </c>
      <c r="AN132" s="6">
        <f t="shared" si="26"/>
        <v>0</v>
      </c>
      <c r="AO132" s="6" t="e">
        <f t="shared" si="27"/>
        <v>#DIV/0!</v>
      </c>
      <c r="AP132" s="15">
        <f>IFERROR(XIRR($AO$125:AO132,$D$125:D132),-100%)</f>
        <v>-1</v>
      </c>
      <c r="AQ132" s="129" t="e">
        <f t="shared" si="28"/>
        <v>#NUM!</v>
      </c>
      <c r="AR132" s="300">
        <v>0</v>
      </c>
      <c r="AS132" s="130" t="e">
        <f t="shared" si="29"/>
        <v>#DIV/0!</v>
      </c>
      <c r="AT132" s="10">
        <f>IFERROR(XIRR($AS$125:$AS132,$D$125:$D132),-100%)</f>
        <v>-1</v>
      </c>
      <c r="AU132" s="300">
        <v>0</v>
      </c>
      <c r="AV132" s="130" t="e">
        <f t="shared" si="30"/>
        <v>#DIV/0!</v>
      </c>
      <c r="AW132" s="131">
        <f>IFERROR(XIRR($AV$125:$AV132,$D$125:$D132),-100%)</f>
        <v>-1</v>
      </c>
      <c r="AX132" s="213">
        <f t="shared" si="45"/>
        <v>0</v>
      </c>
      <c r="AY132" s="200" t="e">
        <f t="shared" si="31"/>
        <v>#DIV/0!</v>
      </c>
      <c r="AZ132" s="159">
        <f t="shared" si="32"/>
        <v>0</v>
      </c>
      <c r="BA132" s="148" t="e">
        <f t="shared" si="46"/>
        <v>#NUM!</v>
      </c>
      <c r="BB132" s="6" t="e">
        <f t="shared" si="33"/>
        <v>#NUM!</v>
      </c>
      <c r="BC132" s="6" t="e">
        <f t="shared" si="34"/>
        <v>#NUM!</v>
      </c>
      <c r="BD132" s="149" t="e">
        <f t="shared" si="35"/>
        <v>#NUM!</v>
      </c>
      <c r="BE132" s="148" t="e">
        <f t="shared" si="47"/>
        <v>#NUM!</v>
      </c>
      <c r="BF132" s="6" t="e">
        <f t="shared" si="36"/>
        <v>#NUM!</v>
      </c>
      <c r="BG132" s="6" t="e">
        <f t="shared" si="37"/>
        <v>#DIV/0!</v>
      </c>
      <c r="BH132" s="6" t="e">
        <f t="shared" si="48"/>
        <v>#NUM!</v>
      </c>
      <c r="BI132" s="138" t="e">
        <f t="shared" si="38"/>
        <v>#DIV/0!</v>
      </c>
    </row>
    <row r="133" spans="1:61" x14ac:dyDescent="0.25">
      <c r="A133"/>
      <c r="B133" s="9">
        <v>1</v>
      </c>
      <c r="C133" s="13">
        <v>8</v>
      </c>
      <c r="D133" s="12">
        <f t="shared" si="39"/>
        <v>274</v>
      </c>
      <c r="E133" s="6">
        <f>INDEX(GC!$G$25:$G$144,MATCH($D133,GC!$C$25:$C$144,0))</f>
        <v>0</v>
      </c>
      <c r="F133" s="6">
        <f>INDEX(GC!$I$25:$I$144,MATCH($D133,GC!$C$25:$C$144,0))</f>
        <v>0</v>
      </c>
      <c r="G133" s="6">
        <f t="shared" si="40"/>
        <v>0</v>
      </c>
      <c r="H133" s="6">
        <f t="shared" si="2"/>
        <v>0</v>
      </c>
      <c r="I133" s="6">
        <f t="shared" si="49"/>
        <v>0</v>
      </c>
      <c r="J133" s="6">
        <f>IF(SUM($I$126:I133)&gt;$E$61, SUM($I$126:I133)-SUM($J$125:J132)-$E$61,0)</f>
        <v>0</v>
      </c>
      <c r="K133" s="6" t="e">
        <f t="shared" si="3"/>
        <v>#DIV/0!</v>
      </c>
      <c r="L133" s="6" t="e">
        <f t="shared" si="4"/>
        <v>#DIV/0!</v>
      </c>
      <c r="M133" s="6" t="e">
        <f t="shared" si="5"/>
        <v>#DIV/0!</v>
      </c>
      <c r="N133" s="6">
        <f t="shared" si="6"/>
        <v>0</v>
      </c>
      <c r="O133" s="6">
        <f t="shared" si="7"/>
        <v>0</v>
      </c>
      <c r="P133" s="6">
        <f t="shared" si="8"/>
        <v>0</v>
      </c>
      <c r="Q133" s="6">
        <f t="shared" si="9"/>
        <v>0</v>
      </c>
      <c r="R133" s="6" t="e">
        <f t="shared" si="41"/>
        <v>#DIV/0!</v>
      </c>
      <c r="S133" s="6" t="e">
        <f t="shared" si="10"/>
        <v>#DIV/0!</v>
      </c>
      <c r="T133" s="11" t="e">
        <f>SUM($R$126:R133)/($E$87)</f>
        <v>#DIV/0!</v>
      </c>
      <c r="U133" s="89" t="e">
        <f t="shared" si="11"/>
        <v>#DIV/0!</v>
      </c>
      <c r="V133" s="6" t="e">
        <f t="shared" si="12"/>
        <v>#DIV/0!</v>
      </c>
      <c r="W133" s="6" t="e">
        <f t="shared" si="42"/>
        <v>#DIV/0!</v>
      </c>
      <c r="X133" s="6" t="e">
        <f t="shared" si="13"/>
        <v>#DIV/0!</v>
      </c>
      <c r="Y133" s="6" t="e">
        <f t="shared" si="14"/>
        <v>#DIV/0!</v>
      </c>
      <c r="Z133" s="90" t="e">
        <f t="shared" si="15"/>
        <v>#DIV/0!</v>
      </c>
      <c r="AA133" s="89" t="e">
        <f t="shared" si="16"/>
        <v>#DIV/0!</v>
      </c>
      <c r="AB133" s="6" t="e">
        <f t="shared" si="17"/>
        <v>#DIV/0!</v>
      </c>
      <c r="AC133" s="6" t="e">
        <f t="shared" si="18"/>
        <v>#NUM!</v>
      </c>
      <c r="AD133" s="90" t="e">
        <f t="shared" si="19"/>
        <v>#NUM!</v>
      </c>
      <c r="AE133" s="6" t="e">
        <f t="shared" si="20"/>
        <v>#DIV/0!</v>
      </c>
      <c r="AF133" s="6" t="e">
        <f>IF(SUM(AE134:$AE$245)-SUM(AJ134:$AK$245,AN134:$AN$245)&gt;$E$42,0,IF(SUM($AF$125:AF132)=0,$E$42-(SUM(AE134:$AE$245)-SUM(AJ134:$AK$245,AN134:$AN$245)),AE133-SUM(AJ133:AK133,AN133)))</f>
        <v>#DIV/0!</v>
      </c>
      <c r="AG133" s="89" t="e">
        <f t="shared" si="21"/>
        <v>#DIV/0!</v>
      </c>
      <c r="AH133" s="6" t="e">
        <f t="shared" si="43"/>
        <v>#DIV/0!</v>
      </c>
      <c r="AI133" s="6" t="e">
        <f t="shared" si="22"/>
        <v>#DIV/0!</v>
      </c>
      <c r="AJ133" s="6">
        <f t="shared" si="23"/>
        <v>0</v>
      </c>
      <c r="AK133" s="90">
        <f t="shared" si="24"/>
        <v>0</v>
      </c>
      <c r="AL133" s="6" t="e">
        <f t="shared" si="25"/>
        <v>#DIV/0!</v>
      </c>
      <c r="AM133" s="6" t="e">
        <f t="shared" si="44"/>
        <v>#NUM!</v>
      </c>
      <c r="AN133" s="6">
        <f t="shared" si="26"/>
        <v>0</v>
      </c>
      <c r="AO133" s="6" t="e">
        <f t="shared" si="27"/>
        <v>#DIV/0!</v>
      </c>
      <c r="AP133" s="15">
        <f>IFERROR(XIRR($AO$125:AO133,$D$125:D133),-100%)</f>
        <v>-1</v>
      </c>
      <c r="AQ133" s="129" t="e">
        <f t="shared" si="28"/>
        <v>#NUM!</v>
      </c>
      <c r="AR133" s="300">
        <v>0</v>
      </c>
      <c r="AS133" s="130" t="e">
        <f t="shared" si="29"/>
        <v>#DIV/0!</v>
      </c>
      <c r="AT133" s="10">
        <f>IFERROR(XIRR($AS$125:$AS133,$D$125:$D133),-100%)</f>
        <v>-1</v>
      </c>
      <c r="AU133" s="300">
        <v>0</v>
      </c>
      <c r="AV133" s="130" t="e">
        <f t="shared" si="30"/>
        <v>#DIV/0!</v>
      </c>
      <c r="AW133" s="131">
        <f>IFERROR(XIRR($AV$125:$AV133,$D$125:$D133),-100%)</f>
        <v>-1</v>
      </c>
      <c r="AX133" s="213">
        <f t="shared" si="45"/>
        <v>0</v>
      </c>
      <c r="AY133" s="200" t="e">
        <f t="shared" si="31"/>
        <v>#DIV/0!</v>
      </c>
      <c r="AZ133" s="159">
        <f t="shared" si="32"/>
        <v>0</v>
      </c>
      <c r="BA133" s="148" t="e">
        <f t="shared" si="46"/>
        <v>#NUM!</v>
      </c>
      <c r="BB133" s="6" t="e">
        <f t="shared" si="33"/>
        <v>#NUM!</v>
      </c>
      <c r="BC133" s="6" t="e">
        <f t="shared" si="34"/>
        <v>#NUM!</v>
      </c>
      <c r="BD133" s="149" t="e">
        <f t="shared" si="35"/>
        <v>#NUM!</v>
      </c>
      <c r="BE133" s="148" t="e">
        <f t="shared" si="47"/>
        <v>#NUM!</v>
      </c>
      <c r="BF133" s="6" t="e">
        <f t="shared" si="36"/>
        <v>#NUM!</v>
      </c>
      <c r="BG133" s="6" t="e">
        <f t="shared" si="37"/>
        <v>#DIV/0!</v>
      </c>
      <c r="BH133" s="6" t="e">
        <f t="shared" si="48"/>
        <v>#NUM!</v>
      </c>
      <c r="BI133" s="138" t="e">
        <f t="shared" si="38"/>
        <v>#DIV/0!</v>
      </c>
    </row>
    <row r="134" spans="1:61" x14ac:dyDescent="0.25">
      <c r="A134"/>
      <c r="B134" s="9">
        <v>1</v>
      </c>
      <c r="C134" s="13">
        <v>9</v>
      </c>
      <c r="D134" s="12">
        <f t="shared" si="39"/>
        <v>305</v>
      </c>
      <c r="E134" s="6">
        <f>INDEX(GC!$G$25:$G$144,MATCH($D134,GC!$C$25:$C$144,0))</f>
        <v>0</v>
      </c>
      <c r="F134" s="6">
        <f>INDEX(GC!$I$25:$I$144,MATCH($D134,GC!$C$25:$C$144,0))</f>
        <v>0</v>
      </c>
      <c r="G134" s="6">
        <f t="shared" si="40"/>
        <v>0</v>
      </c>
      <c r="H134" s="6">
        <f t="shared" si="2"/>
        <v>0</v>
      </c>
      <c r="I134" s="6">
        <f t="shared" si="49"/>
        <v>0</v>
      </c>
      <c r="J134" s="6">
        <f>IF(SUM($I$126:I134)&gt;$E$61, SUM($I$126:I134)-SUM($J$125:J133)-$E$61,0)</f>
        <v>0</v>
      </c>
      <c r="K134" s="6" t="e">
        <f t="shared" si="3"/>
        <v>#DIV/0!</v>
      </c>
      <c r="L134" s="6" t="e">
        <f t="shared" si="4"/>
        <v>#DIV/0!</v>
      </c>
      <c r="M134" s="6" t="e">
        <f t="shared" si="5"/>
        <v>#DIV/0!</v>
      </c>
      <c r="N134" s="6">
        <f t="shared" si="6"/>
        <v>0</v>
      </c>
      <c r="O134" s="6">
        <f t="shared" si="7"/>
        <v>0</v>
      </c>
      <c r="P134" s="6">
        <f t="shared" si="8"/>
        <v>0</v>
      </c>
      <c r="Q134" s="6">
        <f t="shared" si="9"/>
        <v>0</v>
      </c>
      <c r="R134" s="6" t="e">
        <f t="shared" si="41"/>
        <v>#DIV/0!</v>
      </c>
      <c r="S134" s="6" t="e">
        <f t="shared" si="10"/>
        <v>#DIV/0!</v>
      </c>
      <c r="T134" s="11" t="e">
        <f>SUM($R$126:R134)/($E$87)</f>
        <v>#DIV/0!</v>
      </c>
      <c r="U134" s="89" t="e">
        <f t="shared" si="11"/>
        <v>#DIV/0!</v>
      </c>
      <c r="V134" s="6" t="e">
        <f t="shared" si="12"/>
        <v>#DIV/0!</v>
      </c>
      <c r="W134" s="6" t="e">
        <f t="shared" si="42"/>
        <v>#DIV/0!</v>
      </c>
      <c r="X134" s="6" t="e">
        <f t="shared" si="13"/>
        <v>#DIV/0!</v>
      </c>
      <c r="Y134" s="6" t="e">
        <f t="shared" si="14"/>
        <v>#DIV/0!</v>
      </c>
      <c r="Z134" s="90" t="e">
        <f t="shared" si="15"/>
        <v>#DIV/0!</v>
      </c>
      <c r="AA134" s="89" t="e">
        <f t="shared" si="16"/>
        <v>#DIV/0!</v>
      </c>
      <c r="AB134" s="6" t="e">
        <f t="shared" si="17"/>
        <v>#DIV/0!</v>
      </c>
      <c r="AC134" s="6" t="e">
        <f t="shared" si="18"/>
        <v>#NUM!</v>
      </c>
      <c r="AD134" s="90" t="e">
        <f t="shared" si="19"/>
        <v>#NUM!</v>
      </c>
      <c r="AE134" s="6" t="e">
        <f t="shared" si="20"/>
        <v>#DIV/0!</v>
      </c>
      <c r="AF134" s="6" t="e">
        <f>IF(SUM(AE135:$AE$245)-SUM(AJ135:$AK$245,AN135:$AN$245)&gt;$E$42,0,IF(SUM($AF$125:AF133)=0,$E$42-(SUM(AE135:$AE$245)-SUM(AJ135:$AK$245,AN135:$AN$245)),AE134-SUM(AJ134:AK134,AN134)))</f>
        <v>#DIV/0!</v>
      </c>
      <c r="AG134" s="89" t="e">
        <f t="shared" si="21"/>
        <v>#DIV/0!</v>
      </c>
      <c r="AH134" s="6" t="e">
        <f t="shared" si="43"/>
        <v>#DIV/0!</v>
      </c>
      <c r="AI134" s="6" t="e">
        <f t="shared" si="22"/>
        <v>#DIV/0!</v>
      </c>
      <c r="AJ134" s="6">
        <f t="shared" si="23"/>
        <v>0</v>
      </c>
      <c r="AK134" s="90">
        <f t="shared" si="24"/>
        <v>0</v>
      </c>
      <c r="AL134" s="6" t="e">
        <f t="shared" si="25"/>
        <v>#DIV/0!</v>
      </c>
      <c r="AM134" s="6" t="e">
        <f t="shared" si="44"/>
        <v>#NUM!</v>
      </c>
      <c r="AN134" s="6">
        <f t="shared" si="26"/>
        <v>0</v>
      </c>
      <c r="AO134" s="6" t="e">
        <f t="shared" si="27"/>
        <v>#DIV/0!</v>
      </c>
      <c r="AP134" s="15">
        <f>IFERROR(XIRR($AO$125:AO134,$D$125:D134),-100%)</f>
        <v>-1</v>
      </c>
      <c r="AQ134" s="129" t="e">
        <f t="shared" si="28"/>
        <v>#NUM!</v>
      </c>
      <c r="AR134" s="300">
        <v>0</v>
      </c>
      <c r="AS134" s="130" t="e">
        <f t="shared" si="29"/>
        <v>#DIV/0!</v>
      </c>
      <c r="AT134" s="10">
        <f>IFERROR(XIRR($AS$125:$AS134,$D$125:$D134),-100%)</f>
        <v>-1</v>
      </c>
      <c r="AU134" s="300">
        <v>0</v>
      </c>
      <c r="AV134" s="130" t="e">
        <f t="shared" si="30"/>
        <v>#DIV/0!</v>
      </c>
      <c r="AW134" s="131">
        <f>IFERROR(XIRR($AV$125:$AV134,$D$125:$D134),-100%)</f>
        <v>-1</v>
      </c>
      <c r="AX134" s="213">
        <f t="shared" si="45"/>
        <v>0</v>
      </c>
      <c r="AY134" s="200" t="e">
        <f t="shared" si="31"/>
        <v>#DIV/0!</v>
      </c>
      <c r="AZ134" s="159">
        <f t="shared" si="32"/>
        <v>0</v>
      </c>
      <c r="BA134" s="148" t="e">
        <f t="shared" si="46"/>
        <v>#NUM!</v>
      </c>
      <c r="BB134" s="6" t="e">
        <f t="shared" si="33"/>
        <v>#NUM!</v>
      </c>
      <c r="BC134" s="6" t="e">
        <f t="shared" si="34"/>
        <v>#NUM!</v>
      </c>
      <c r="BD134" s="149" t="e">
        <f t="shared" si="35"/>
        <v>#NUM!</v>
      </c>
      <c r="BE134" s="148" t="e">
        <f t="shared" si="47"/>
        <v>#NUM!</v>
      </c>
      <c r="BF134" s="6" t="e">
        <f t="shared" si="36"/>
        <v>#NUM!</v>
      </c>
      <c r="BG134" s="6" t="e">
        <f t="shared" si="37"/>
        <v>#DIV/0!</v>
      </c>
      <c r="BH134" s="6" t="e">
        <f t="shared" si="48"/>
        <v>#NUM!</v>
      </c>
      <c r="BI134" s="138" t="e">
        <f t="shared" si="38"/>
        <v>#DIV/0!</v>
      </c>
    </row>
    <row r="135" spans="1:61" x14ac:dyDescent="0.25">
      <c r="A135"/>
      <c r="B135" s="9">
        <v>1</v>
      </c>
      <c r="C135" s="13">
        <v>10</v>
      </c>
      <c r="D135" s="12">
        <f t="shared" si="39"/>
        <v>335</v>
      </c>
      <c r="E135" s="6">
        <f>INDEX(GC!$G$25:$G$144,MATCH($D135,GC!$C$25:$C$144,0))</f>
        <v>0</v>
      </c>
      <c r="F135" s="6">
        <f>INDEX(GC!$I$25:$I$144,MATCH($D135,GC!$C$25:$C$144,0))</f>
        <v>0</v>
      </c>
      <c r="G135" s="6">
        <f t="shared" si="40"/>
        <v>0</v>
      </c>
      <c r="H135" s="6">
        <f t="shared" si="2"/>
        <v>0</v>
      </c>
      <c r="I135" s="6">
        <f t="shared" si="49"/>
        <v>0</v>
      </c>
      <c r="J135" s="6">
        <f>IF(SUM($I$126:I135)&gt;$E$61, SUM($I$126:I135)-SUM($J$125:J134)-$E$61,0)</f>
        <v>0</v>
      </c>
      <c r="K135" s="6" t="e">
        <f t="shared" si="3"/>
        <v>#DIV/0!</v>
      </c>
      <c r="L135" s="6" t="e">
        <f t="shared" si="4"/>
        <v>#DIV/0!</v>
      </c>
      <c r="M135" s="6" t="e">
        <f t="shared" si="5"/>
        <v>#DIV/0!</v>
      </c>
      <c r="N135" s="6">
        <f t="shared" si="6"/>
        <v>0</v>
      </c>
      <c r="O135" s="6">
        <f t="shared" si="7"/>
        <v>0</v>
      </c>
      <c r="P135" s="6">
        <f t="shared" si="8"/>
        <v>0</v>
      </c>
      <c r="Q135" s="6">
        <f t="shared" si="9"/>
        <v>0</v>
      </c>
      <c r="R135" s="6" t="e">
        <f t="shared" si="41"/>
        <v>#DIV/0!</v>
      </c>
      <c r="S135" s="6" t="e">
        <f t="shared" si="10"/>
        <v>#DIV/0!</v>
      </c>
      <c r="T135" s="11" t="e">
        <f>SUM($R$126:R135)/($E$87)</f>
        <v>#DIV/0!</v>
      </c>
      <c r="U135" s="89" t="e">
        <f t="shared" si="11"/>
        <v>#DIV/0!</v>
      </c>
      <c r="V135" s="6" t="e">
        <f t="shared" si="12"/>
        <v>#DIV/0!</v>
      </c>
      <c r="W135" s="6" t="e">
        <f t="shared" si="42"/>
        <v>#DIV/0!</v>
      </c>
      <c r="X135" s="6" t="e">
        <f t="shared" si="13"/>
        <v>#DIV/0!</v>
      </c>
      <c r="Y135" s="6" t="e">
        <f t="shared" si="14"/>
        <v>#DIV/0!</v>
      </c>
      <c r="Z135" s="90" t="e">
        <f t="shared" si="15"/>
        <v>#DIV/0!</v>
      </c>
      <c r="AA135" s="89" t="e">
        <f t="shared" si="16"/>
        <v>#DIV/0!</v>
      </c>
      <c r="AB135" s="6" t="e">
        <f t="shared" si="17"/>
        <v>#DIV/0!</v>
      </c>
      <c r="AC135" s="6" t="e">
        <f t="shared" si="18"/>
        <v>#NUM!</v>
      </c>
      <c r="AD135" s="90" t="e">
        <f t="shared" si="19"/>
        <v>#NUM!</v>
      </c>
      <c r="AE135" s="6" t="e">
        <f t="shared" si="20"/>
        <v>#DIV/0!</v>
      </c>
      <c r="AF135" s="6" t="e">
        <f>IF(SUM(AE136:$AE$245)-SUM(AJ136:$AK$245,AN136:$AN$245)&gt;$E$42,0,IF(SUM($AF$125:AF134)=0,$E$42-(SUM(AE136:$AE$245)-SUM(AJ136:$AK$245,AN136:$AN$245)),AE135-SUM(AJ135:AK135,AN135)))</f>
        <v>#DIV/0!</v>
      </c>
      <c r="AG135" s="89" t="e">
        <f t="shared" si="21"/>
        <v>#DIV/0!</v>
      </c>
      <c r="AH135" s="6" t="e">
        <f t="shared" si="43"/>
        <v>#DIV/0!</v>
      </c>
      <c r="AI135" s="6" t="e">
        <f t="shared" si="22"/>
        <v>#DIV/0!</v>
      </c>
      <c r="AJ135" s="6">
        <f t="shared" si="23"/>
        <v>0</v>
      </c>
      <c r="AK135" s="90">
        <f t="shared" si="24"/>
        <v>0</v>
      </c>
      <c r="AL135" s="6" t="e">
        <f t="shared" si="25"/>
        <v>#DIV/0!</v>
      </c>
      <c r="AM135" s="6" t="e">
        <f t="shared" si="44"/>
        <v>#NUM!</v>
      </c>
      <c r="AN135" s="6">
        <f t="shared" si="26"/>
        <v>0</v>
      </c>
      <c r="AO135" s="6" t="e">
        <f t="shared" si="27"/>
        <v>#DIV/0!</v>
      </c>
      <c r="AP135" s="15">
        <f>IFERROR(XIRR($AO$125:AO135,$D$125:D135),-100%)</f>
        <v>-1</v>
      </c>
      <c r="AQ135" s="129" t="e">
        <f t="shared" si="28"/>
        <v>#NUM!</v>
      </c>
      <c r="AR135" s="300">
        <v>0</v>
      </c>
      <c r="AS135" s="130" t="e">
        <f t="shared" si="29"/>
        <v>#DIV/0!</v>
      </c>
      <c r="AT135" s="10">
        <f>IFERROR(XIRR($AS$125:$AS135,$D$125:$D135),-100%)</f>
        <v>-1</v>
      </c>
      <c r="AU135" s="300">
        <v>0</v>
      </c>
      <c r="AV135" s="130" t="e">
        <f t="shared" si="30"/>
        <v>#DIV/0!</v>
      </c>
      <c r="AW135" s="131">
        <f>IFERROR(XIRR($AV$125:$AV135,$D$125:$D135),-100%)</f>
        <v>-1</v>
      </c>
      <c r="AX135" s="213">
        <f t="shared" si="45"/>
        <v>0</v>
      </c>
      <c r="AY135" s="200" t="e">
        <f t="shared" si="31"/>
        <v>#DIV/0!</v>
      </c>
      <c r="AZ135" s="159">
        <f t="shared" si="32"/>
        <v>0</v>
      </c>
      <c r="BA135" s="148" t="e">
        <f t="shared" si="46"/>
        <v>#NUM!</v>
      </c>
      <c r="BB135" s="6" t="e">
        <f t="shared" si="33"/>
        <v>#NUM!</v>
      </c>
      <c r="BC135" s="6" t="e">
        <f t="shared" si="34"/>
        <v>#NUM!</v>
      </c>
      <c r="BD135" s="149" t="e">
        <f t="shared" si="35"/>
        <v>#NUM!</v>
      </c>
      <c r="BE135" s="148" t="e">
        <f t="shared" si="47"/>
        <v>#NUM!</v>
      </c>
      <c r="BF135" s="6" t="e">
        <f t="shared" si="36"/>
        <v>#NUM!</v>
      </c>
      <c r="BG135" s="6" t="e">
        <f t="shared" si="37"/>
        <v>#DIV/0!</v>
      </c>
      <c r="BH135" s="6" t="e">
        <f t="shared" si="48"/>
        <v>#NUM!</v>
      </c>
      <c r="BI135" s="138" t="e">
        <f t="shared" si="38"/>
        <v>#DIV/0!</v>
      </c>
    </row>
    <row r="136" spans="1:61" x14ac:dyDescent="0.25">
      <c r="A136"/>
      <c r="B136" s="9">
        <v>1</v>
      </c>
      <c r="C136" s="13">
        <v>11</v>
      </c>
      <c r="D136" s="12">
        <f t="shared" si="39"/>
        <v>366</v>
      </c>
      <c r="E136" s="6">
        <f>INDEX(GC!$G$25:$G$144,MATCH($D136,GC!$C$25:$C$144,0))</f>
        <v>0</v>
      </c>
      <c r="F136" s="6">
        <f>INDEX(GC!$I$25:$I$144,MATCH($D136,GC!$C$25:$C$144,0))</f>
        <v>0</v>
      </c>
      <c r="G136" s="6">
        <f t="shared" si="40"/>
        <v>0</v>
      </c>
      <c r="H136" s="6">
        <f t="shared" si="2"/>
        <v>0</v>
      </c>
      <c r="I136" s="6">
        <f t="shared" si="49"/>
        <v>0</v>
      </c>
      <c r="J136" s="6">
        <f>IF(SUM($I$126:I136)&gt;$E$61, SUM($I$126:I136)-SUM($J$125:J135)-$E$61,0)</f>
        <v>0</v>
      </c>
      <c r="K136" s="6" t="e">
        <f t="shared" si="3"/>
        <v>#DIV/0!</v>
      </c>
      <c r="L136" s="6" t="e">
        <f t="shared" si="4"/>
        <v>#DIV/0!</v>
      </c>
      <c r="M136" s="6" t="e">
        <f t="shared" si="5"/>
        <v>#DIV/0!</v>
      </c>
      <c r="N136" s="6">
        <f t="shared" si="6"/>
        <v>0</v>
      </c>
      <c r="O136" s="6">
        <f t="shared" si="7"/>
        <v>0</v>
      </c>
      <c r="P136" s="6">
        <f t="shared" si="8"/>
        <v>0</v>
      </c>
      <c r="Q136" s="6">
        <f t="shared" si="9"/>
        <v>0</v>
      </c>
      <c r="R136" s="6" t="e">
        <f t="shared" si="41"/>
        <v>#DIV/0!</v>
      </c>
      <c r="S136" s="6" t="e">
        <f t="shared" si="10"/>
        <v>#DIV/0!</v>
      </c>
      <c r="T136" s="11" t="e">
        <f>SUM($R$126:R136)/($E$87)</f>
        <v>#DIV/0!</v>
      </c>
      <c r="U136" s="89" t="e">
        <f t="shared" si="11"/>
        <v>#DIV/0!</v>
      </c>
      <c r="V136" s="6" t="e">
        <f t="shared" si="12"/>
        <v>#DIV/0!</v>
      </c>
      <c r="W136" s="6" t="e">
        <f t="shared" si="42"/>
        <v>#DIV/0!</v>
      </c>
      <c r="X136" s="6" t="e">
        <f t="shared" si="13"/>
        <v>#DIV/0!</v>
      </c>
      <c r="Y136" s="6" t="e">
        <f t="shared" si="14"/>
        <v>#DIV/0!</v>
      </c>
      <c r="Z136" s="90" t="e">
        <f t="shared" si="15"/>
        <v>#DIV/0!</v>
      </c>
      <c r="AA136" s="89" t="e">
        <f t="shared" si="16"/>
        <v>#DIV/0!</v>
      </c>
      <c r="AB136" s="6" t="e">
        <f t="shared" si="17"/>
        <v>#DIV/0!</v>
      </c>
      <c r="AC136" s="6" t="e">
        <f t="shared" si="18"/>
        <v>#NUM!</v>
      </c>
      <c r="AD136" s="90" t="e">
        <f t="shared" si="19"/>
        <v>#NUM!</v>
      </c>
      <c r="AE136" s="6" t="e">
        <f t="shared" si="20"/>
        <v>#DIV/0!</v>
      </c>
      <c r="AF136" s="6" t="e">
        <f>IF(SUM(AE137:$AE$245)-SUM(AJ137:$AK$245,AN137:$AN$245)&gt;$E$42,0,IF(SUM($AF$125:AF135)=0,$E$42-(SUM(AE137:$AE$245)-SUM(AJ137:$AK$245,AN137:$AN$245)),AE136-SUM(AJ136:AK136,AN136)))</f>
        <v>#DIV/0!</v>
      </c>
      <c r="AG136" s="89" t="e">
        <f t="shared" si="21"/>
        <v>#DIV/0!</v>
      </c>
      <c r="AH136" s="6" t="e">
        <f t="shared" si="43"/>
        <v>#DIV/0!</v>
      </c>
      <c r="AI136" s="6" t="e">
        <f t="shared" si="22"/>
        <v>#DIV/0!</v>
      </c>
      <c r="AJ136" s="6">
        <f t="shared" si="23"/>
        <v>0</v>
      </c>
      <c r="AK136" s="90">
        <f t="shared" si="24"/>
        <v>0</v>
      </c>
      <c r="AL136" s="6" t="e">
        <f t="shared" si="25"/>
        <v>#DIV/0!</v>
      </c>
      <c r="AM136" s="6" t="e">
        <f t="shared" si="44"/>
        <v>#NUM!</v>
      </c>
      <c r="AN136" s="6">
        <f t="shared" si="26"/>
        <v>0</v>
      </c>
      <c r="AO136" s="6" t="e">
        <f t="shared" si="27"/>
        <v>#DIV/0!</v>
      </c>
      <c r="AP136" s="15">
        <f>IFERROR(XIRR($AO$125:AO136,$D$125:D136),-100%)</f>
        <v>-1</v>
      </c>
      <c r="AQ136" s="129" t="e">
        <f t="shared" si="28"/>
        <v>#NUM!</v>
      </c>
      <c r="AR136" s="300">
        <v>0</v>
      </c>
      <c r="AS136" s="130" t="e">
        <f t="shared" si="29"/>
        <v>#DIV/0!</v>
      </c>
      <c r="AT136" s="10">
        <f>IFERROR(XIRR($AS$125:$AS136,$D$125:$D136),-100%)</f>
        <v>-1</v>
      </c>
      <c r="AU136" s="300">
        <v>0</v>
      </c>
      <c r="AV136" s="130" t="e">
        <f t="shared" si="30"/>
        <v>#DIV/0!</v>
      </c>
      <c r="AW136" s="131">
        <f>IFERROR(XIRR($AV$125:$AV136,$D$125:$D136),-100%)</f>
        <v>-1</v>
      </c>
      <c r="AX136" s="213">
        <f t="shared" si="45"/>
        <v>0</v>
      </c>
      <c r="AY136" s="200" t="e">
        <f t="shared" si="31"/>
        <v>#DIV/0!</v>
      </c>
      <c r="AZ136" s="159">
        <f t="shared" si="32"/>
        <v>0</v>
      </c>
      <c r="BA136" s="148" t="e">
        <f t="shared" si="46"/>
        <v>#NUM!</v>
      </c>
      <c r="BB136" s="6" t="e">
        <f t="shared" si="33"/>
        <v>#NUM!</v>
      </c>
      <c r="BC136" s="6" t="e">
        <f t="shared" si="34"/>
        <v>#NUM!</v>
      </c>
      <c r="BD136" s="149" t="e">
        <f t="shared" si="35"/>
        <v>#NUM!</v>
      </c>
      <c r="BE136" s="148" t="e">
        <f t="shared" si="47"/>
        <v>#NUM!</v>
      </c>
      <c r="BF136" s="6" t="e">
        <f t="shared" si="36"/>
        <v>#NUM!</v>
      </c>
      <c r="BG136" s="6" t="e">
        <f t="shared" si="37"/>
        <v>#DIV/0!</v>
      </c>
      <c r="BH136" s="6" t="e">
        <f t="shared" si="48"/>
        <v>#NUM!</v>
      </c>
      <c r="BI136" s="138" t="e">
        <f t="shared" si="38"/>
        <v>#DIV/0!</v>
      </c>
    </row>
    <row r="137" spans="1:61" x14ac:dyDescent="0.25">
      <c r="A137"/>
      <c r="B137" s="9">
        <v>1</v>
      </c>
      <c r="C137" s="13">
        <v>12</v>
      </c>
      <c r="D137" s="12">
        <f t="shared" si="39"/>
        <v>397</v>
      </c>
      <c r="E137" s="6">
        <f>INDEX(GC!$G$25:$G$144,MATCH($D137,GC!$C$25:$C$144,0))</f>
        <v>0</v>
      </c>
      <c r="F137" s="6">
        <f>INDEX(GC!$I$25:$I$144,MATCH($D137,GC!$C$25:$C$144,0))</f>
        <v>0</v>
      </c>
      <c r="G137" s="6">
        <f t="shared" si="40"/>
        <v>0</v>
      </c>
      <c r="H137" s="6">
        <f t="shared" si="2"/>
        <v>0</v>
      </c>
      <c r="I137" s="6">
        <f t="shared" si="49"/>
        <v>0</v>
      </c>
      <c r="J137" s="6">
        <f>IF(SUM($I$126:I137)&gt;$E$61, SUM($I$126:I137)-SUM($J$125:J136)-$E$61,0)</f>
        <v>0</v>
      </c>
      <c r="K137" s="6" t="e">
        <f t="shared" si="3"/>
        <v>#DIV/0!</v>
      </c>
      <c r="L137" s="6" t="e">
        <f t="shared" si="4"/>
        <v>#DIV/0!</v>
      </c>
      <c r="M137" s="6" t="e">
        <f t="shared" si="5"/>
        <v>#DIV/0!</v>
      </c>
      <c r="N137" s="6">
        <f t="shared" si="6"/>
        <v>0</v>
      </c>
      <c r="O137" s="6">
        <f t="shared" si="7"/>
        <v>0</v>
      </c>
      <c r="P137" s="6">
        <f t="shared" si="8"/>
        <v>0</v>
      </c>
      <c r="Q137" s="6">
        <f t="shared" si="9"/>
        <v>0</v>
      </c>
      <c r="R137" s="6" t="e">
        <f t="shared" si="41"/>
        <v>#DIV/0!</v>
      </c>
      <c r="S137" s="6" t="e">
        <f t="shared" si="10"/>
        <v>#DIV/0!</v>
      </c>
      <c r="T137" s="11" t="e">
        <f>SUM($R$126:R137)/($E$87)</f>
        <v>#DIV/0!</v>
      </c>
      <c r="U137" s="89" t="e">
        <f t="shared" si="11"/>
        <v>#DIV/0!</v>
      </c>
      <c r="V137" s="6" t="e">
        <f t="shared" si="12"/>
        <v>#DIV/0!</v>
      </c>
      <c r="W137" s="6" t="e">
        <f t="shared" si="42"/>
        <v>#DIV/0!</v>
      </c>
      <c r="X137" s="6" t="e">
        <f t="shared" si="13"/>
        <v>#DIV/0!</v>
      </c>
      <c r="Y137" s="6" t="e">
        <f t="shared" si="14"/>
        <v>#DIV/0!</v>
      </c>
      <c r="Z137" s="90" t="e">
        <f t="shared" si="15"/>
        <v>#DIV/0!</v>
      </c>
      <c r="AA137" s="89" t="e">
        <f t="shared" si="16"/>
        <v>#DIV/0!</v>
      </c>
      <c r="AB137" s="6" t="e">
        <f t="shared" si="17"/>
        <v>#DIV/0!</v>
      </c>
      <c r="AC137" s="6" t="e">
        <f t="shared" si="18"/>
        <v>#NUM!</v>
      </c>
      <c r="AD137" s="90" t="e">
        <f t="shared" si="19"/>
        <v>#NUM!</v>
      </c>
      <c r="AE137" s="6" t="e">
        <f t="shared" si="20"/>
        <v>#DIV/0!</v>
      </c>
      <c r="AF137" s="6" t="e">
        <f>IF(SUM(AE138:$AE$245)-SUM(AJ138:$AK$245,AN138:$AN$245)&gt;$E$42,0,IF(SUM($AF$125:AF136)=0,$E$42-(SUM(AE138:$AE$245)-SUM(AJ138:$AK$245,AN138:$AN$245)),AE137-SUM(AJ137:AK137,AN137)))</f>
        <v>#DIV/0!</v>
      </c>
      <c r="AG137" s="89" t="e">
        <f t="shared" si="21"/>
        <v>#DIV/0!</v>
      </c>
      <c r="AH137" s="6" t="e">
        <f t="shared" si="43"/>
        <v>#DIV/0!</v>
      </c>
      <c r="AI137" s="6" t="e">
        <f t="shared" si="22"/>
        <v>#DIV/0!</v>
      </c>
      <c r="AJ137" s="6">
        <f t="shared" si="23"/>
        <v>0</v>
      </c>
      <c r="AK137" s="90">
        <f t="shared" si="24"/>
        <v>0</v>
      </c>
      <c r="AL137" s="6" t="e">
        <f t="shared" si="25"/>
        <v>#DIV/0!</v>
      </c>
      <c r="AM137" s="6" t="e">
        <f t="shared" si="44"/>
        <v>#NUM!</v>
      </c>
      <c r="AN137" s="6">
        <f t="shared" si="26"/>
        <v>0</v>
      </c>
      <c r="AO137" s="6" t="e">
        <f t="shared" si="27"/>
        <v>#DIV/0!</v>
      </c>
      <c r="AP137" s="15">
        <f>IFERROR(XIRR($AO$125:AO137,$D$125:D137),-100%)</f>
        <v>-1</v>
      </c>
      <c r="AQ137" s="129" t="e">
        <f t="shared" si="28"/>
        <v>#NUM!</v>
      </c>
      <c r="AR137" s="300">
        <v>0</v>
      </c>
      <c r="AS137" s="130" t="e">
        <f t="shared" si="29"/>
        <v>#DIV/0!</v>
      </c>
      <c r="AT137" s="10">
        <f>IFERROR(XIRR($AS$125:$AS137,$D$125:$D137),-100%)</f>
        <v>-1</v>
      </c>
      <c r="AU137" s="300">
        <v>0</v>
      </c>
      <c r="AV137" s="130" t="e">
        <f t="shared" si="30"/>
        <v>#DIV/0!</v>
      </c>
      <c r="AW137" s="131">
        <f>IFERROR(XIRR($AV$125:$AV137,$D$125:$D137),-100%)</f>
        <v>-1</v>
      </c>
      <c r="AX137" s="213">
        <f t="shared" si="45"/>
        <v>0</v>
      </c>
      <c r="AY137" s="200" t="e">
        <f t="shared" si="31"/>
        <v>#DIV/0!</v>
      </c>
      <c r="AZ137" s="159">
        <f t="shared" si="32"/>
        <v>0</v>
      </c>
      <c r="BA137" s="148" t="e">
        <f t="shared" si="46"/>
        <v>#NUM!</v>
      </c>
      <c r="BB137" s="6" t="e">
        <f t="shared" si="33"/>
        <v>#NUM!</v>
      </c>
      <c r="BC137" s="6" t="e">
        <f t="shared" si="34"/>
        <v>#NUM!</v>
      </c>
      <c r="BD137" s="149" t="e">
        <f t="shared" si="35"/>
        <v>#NUM!</v>
      </c>
      <c r="BE137" s="148" t="e">
        <f t="shared" si="47"/>
        <v>#NUM!</v>
      </c>
      <c r="BF137" s="6" t="e">
        <f t="shared" si="36"/>
        <v>#NUM!</v>
      </c>
      <c r="BG137" s="6" t="e">
        <f t="shared" si="37"/>
        <v>#DIV/0!</v>
      </c>
      <c r="BH137" s="6" t="e">
        <f t="shared" si="48"/>
        <v>#NUM!</v>
      </c>
      <c r="BI137" s="138" t="e">
        <f t="shared" si="38"/>
        <v>#DIV/0!</v>
      </c>
    </row>
    <row r="138" spans="1:61" x14ac:dyDescent="0.25">
      <c r="A138"/>
      <c r="B138" s="9">
        <f t="shared" ref="B138:B201" si="50">1+B126</f>
        <v>2</v>
      </c>
      <c r="C138" s="13">
        <v>13</v>
      </c>
      <c r="D138" s="12">
        <f t="shared" si="39"/>
        <v>425</v>
      </c>
      <c r="E138" s="6">
        <f>INDEX(GC!$G$25:$G$144,MATCH($D138,GC!$C$25:$C$144,0))</f>
        <v>0</v>
      </c>
      <c r="F138" s="6">
        <f>INDEX(GC!$I$25:$I$144,MATCH($D138,GC!$C$25:$C$144,0))</f>
        <v>0</v>
      </c>
      <c r="G138" s="6">
        <f t="shared" si="40"/>
        <v>0</v>
      </c>
      <c r="H138" s="6">
        <f t="shared" si="2"/>
        <v>0</v>
      </c>
      <c r="I138" s="6">
        <f t="shared" si="49"/>
        <v>0</v>
      </c>
      <c r="J138" s="6">
        <f>IF(SUM($I$126:I138)&gt;$E$61, SUM($I$126:I138)-SUM($J$125:J137)-$E$61,0)</f>
        <v>0</v>
      </c>
      <c r="K138" s="6" t="e">
        <f t="shared" si="3"/>
        <v>#DIV/0!</v>
      </c>
      <c r="L138" s="6" t="e">
        <f t="shared" si="4"/>
        <v>#DIV/0!</v>
      </c>
      <c r="M138" s="6" t="e">
        <f t="shared" si="5"/>
        <v>#DIV/0!</v>
      </c>
      <c r="N138" s="6">
        <f t="shared" si="6"/>
        <v>0</v>
      </c>
      <c r="O138" s="6">
        <f t="shared" si="7"/>
        <v>0</v>
      </c>
      <c r="P138" s="6">
        <f t="shared" si="8"/>
        <v>0</v>
      </c>
      <c r="Q138" s="6">
        <f t="shared" si="9"/>
        <v>0</v>
      </c>
      <c r="R138" s="6" t="e">
        <f t="shared" si="41"/>
        <v>#DIV/0!</v>
      </c>
      <c r="S138" s="6" t="e">
        <f t="shared" si="10"/>
        <v>#DIV/0!</v>
      </c>
      <c r="T138" s="11" t="e">
        <f>SUM($R$126:R138)/($E$87)</f>
        <v>#DIV/0!</v>
      </c>
      <c r="U138" s="89" t="e">
        <f t="shared" si="11"/>
        <v>#DIV/0!</v>
      </c>
      <c r="V138" s="6" t="e">
        <f t="shared" si="12"/>
        <v>#DIV/0!</v>
      </c>
      <c r="W138" s="6" t="e">
        <f t="shared" si="42"/>
        <v>#DIV/0!</v>
      </c>
      <c r="X138" s="6" t="e">
        <f t="shared" si="13"/>
        <v>#DIV/0!</v>
      </c>
      <c r="Y138" s="6" t="e">
        <f t="shared" si="14"/>
        <v>#DIV/0!</v>
      </c>
      <c r="Z138" s="90" t="e">
        <f t="shared" si="15"/>
        <v>#DIV/0!</v>
      </c>
      <c r="AA138" s="89" t="e">
        <f t="shared" si="16"/>
        <v>#DIV/0!</v>
      </c>
      <c r="AB138" s="6" t="e">
        <f t="shared" si="17"/>
        <v>#DIV/0!</v>
      </c>
      <c r="AC138" s="6" t="e">
        <f t="shared" si="18"/>
        <v>#NUM!</v>
      </c>
      <c r="AD138" s="90" t="e">
        <f t="shared" si="19"/>
        <v>#NUM!</v>
      </c>
      <c r="AE138" s="6" t="e">
        <f t="shared" si="20"/>
        <v>#DIV/0!</v>
      </c>
      <c r="AF138" s="6" t="e">
        <f>IF(SUM(AE139:$AE$245)-SUM(AJ139:$AK$245,AN139:$AN$245)&gt;$E$42,0,IF(SUM($AF$125:AF137)=0,$E$42-(SUM(AE139:$AE$245)-SUM(AJ139:$AK$245,AN139:$AN$245)),AE138-SUM(AJ138:AK138,AN138)))</f>
        <v>#DIV/0!</v>
      </c>
      <c r="AG138" s="89" t="e">
        <f t="shared" si="21"/>
        <v>#DIV/0!</v>
      </c>
      <c r="AH138" s="6" t="e">
        <f t="shared" si="43"/>
        <v>#DIV/0!</v>
      </c>
      <c r="AI138" s="6" t="e">
        <f t="shared" si="22"/>
        <v>#DIV/0!</v>
      </c>
      <c r="AJ138" s="6">
        <f t="shared" si="23"/>
        <v>0</v>
      </c>
      <c r="AK138" s="90">
        <f t="shared" si="24"/>
        <v>0</v>
      </c>
      <c r="AL138" s="6" t="e">
        <f t="shared" si="25"/>
        <v>#DIV/0!</v>
      </c>
      <c r="AM138" s="6" t="e">
        <f t="shared" si="44"/>
        <v>#NUM!</v>
      </c>
      <c r="AN138" s="6">
        <f t="shared" si="26"/>
        <v>0</v>
      </c>
      <c r="AO138" s="6" t="e">
        <f t="shared" si="27"/>
        <v>#DIV/0!</v>
      </c>
      <c r="AP138" s="15">
        <f>IFERROR(XIRR($AO$125:AO138,$D$125:D138),-100%)</f>
        <v>-1</v>
      </c>
      <c r="AQ138" s="129" t="e">
        <f t="shared" si="28"/>
        <v>#NUM!</v>
      </c>
      <c r="AR138" s="300">
        <v>0</v>
      </c>
      <c r="AS138" s="130" t="e">
        <f t="shared" si="29"/>
        <v>#DIV/0!</v>
      </c>
      <c r="AT138" s="10">
        <f>IFERROR(XIRR($AS$125:$AS138,$D$125:$D138),-100%)</f>
        <v>-1</v>
      </c>
      <c r="AU138" s="300">
        <v>0</v>
      </c>
      <c r="AV138" s="130" t="e">
        <f t="shared" si="30"/>
        <v>#DIV/0!</v>
      </c>
      <c r="AW138" s="131">
        <f>IFERROR(XIRR($AV$125:$AV138,$D$125:$D138),-100%)</f>
        <v>-1</v>
      </c>
      <c r="AX138" s="213">
        <f t="shared" si="45"/>
        <v>0</v>
      </c>
      <c r="AY138" s="200" t="e">
        <f t="shared" si="31"/>
        <v>#DIV/0!</v>
      </c>
      <c r="AZ138" s="159">
        <f t="shared" si="32"/>
        <v>0</v>
      </c>
      <c r="BA138" s="148" t="e">
        <f t="shared" si="46"/>
        <v>#NUM!</v>
      </c>
      <c r="BB138" s="6" t="e">
        <f t="shared" si="33"/>
        <v>#NUM!</v>
      </c>
      <c r="BC138" s="6" t="e">
        <f t="shared" si="34"/>
        <v>#NUM!</v>
      </c>
      <c r="BD138" s="149" t="e">
        <f t="shared" si="35"/>
        <v>#NUM!</v>
      </c>
      <c r="BE138" s="148" t="e">
        <f t="shared" si="47"/>
        <v>#NUM!</v>
      </c>
      <c r="BF138" s="6" t="e">
        <f t="shared" si="36"/>
        <v>#NUM!</v>
      </c>
      <c r="BG138" s="6" t="e">
        <f t="shared" si="37"/>
        <v>#DIV/0!</v>
      </c>
      <c r="BH138" s="6" t="e">
        <f t="shared" si="48"/>
        <v>#NUM!</v>
      </c>
      <c r="BI138" s="138" t="e">
        <f t="shared" si="38"/>
        <v>#DIV/0!</v>
      </c>
    </row>
    <row r="139" spans="1:61" x14ac:dyDescent="0.25">
      <c r="A139"/>
      <c r="B139" s="9">
        <f t="shared" si="50"/>
        <v>2</v>
      </c>
      <c r="C139" s="13">
        <v>14</v>
      </c>
      <c r="D139" s="12">
        <f t="shared" si="39"/>
        <v>456</v>
      </c>
      <c r="E139" s="6">
        <f>INDEX(GC!$G$25:$G$144,MATCH($D139,GC!$C$25:$C$144,0))</f>
        <v>0</v>
      </c>
      <c r="F139" s="6">
        <f>INDEX(GC!$I$25:$I$144,MATCH($D139,GC!$C$25:$C$144,0))</f>
        <v>0</v>
      </c>
      <c r="G139" s="6">
        <f t="shared" si="40"/>
        <v>0</v>
      </c>
      <c r="H139" s="6">
        <f t="shared" si="2"/>
        <v>0</v>
      </c>
      <c r="I139" s="6">
        <f>H139*$E$25</f>
        <v>0</v>
      </c>
      <c r="J139" s="6">
        <f>IF(SUM($I$126:I139)&gt;$E$61, SUM($I$126:I139)-SUM($J$125:J138)-$E$61,0)</f>
        <v>0</v>
      </c>
      <c r="K139" s="6" t="e">
        <f t="shared" si="3"/>
        <v>#DIV/0!</v>
      </c>
      <c r="L139" s="6" t="e">
        <f t="shared" si="4"/>
        <v>#DIV/0!</v>
      </c>
      <c r="M139" s="6" t="e">
        <f t="shared" si="5"/>
        <v>#DIV/0!</v>
      </c>
      <c r="N139" s="6">
        <f t="shared" si="6"/>
        <v>0</v>
      </c>
      <c r="O139" s="6">
        <f t="shared" si="7"/>
        <v>0</v>
      </c>
      <c r="P139" s="6">
        <f t="shared" si="8"/>
        <v>0</v>
      </c>
      <c r="Q139" s="6">
        <f t="shared" si="9"/>
        <v>0</v>
      </c>
      <c r="R139" s="6" t="e">
        <f t="shared" si="41"/>
        <v>#DIV/0!</v>
      </c>
      <c r="S139" s="6" t="e">
        <f t="shared" si="10"/>
        <v>#DIV/0!</v>
      </c>
      <c r="T139" s="11" t="e">
        <f>SUM($R$126:R139)/($E$87)</f>
        <v>#DIV/0!</v>
      </c>
      <c r="U139" s="89" t="e">
        <f t="shared" si="11"/>
        <v>#DIV/0!</v>
      </c>
      <c r="V139" s="6" t="e">
        <f t="shared" si="12"/>
        <v>#DIV/0!</v>
      </c>
      <c r="W139" s="6" t="e">
        <f t="shared" si="42"/>
        <v>#DIV/0!</v>
      </c>
      <c r="X139" s="6" t="e">
        <f t="shared" si="13"/>
        <v>#DIV/0!</v>
      </c>
      <c r="Y139" s="6" t="e">
        <f t="shared" si="14"/>
        <v>#DIV/0!</v>
      </c>
      <c r="Z139" s="90" t="e">
        <f t="shared" si="15"/>
        <v>#DIV/0!</v>
      </c>
      <c r="AA139" s="89" t="e">
        <f t="shared" si="16"/>
        <v>#DIV/0!</v>
      </c>
      <c r="AB139" s="6" t="e">
        <f t="shared" si="17"/>
        <v>#DIV/0!</v>
      </c>
      <c r="AC139" s="6" t="e">
        <f t="shared" si="18"/>
        <v>#NUM!</v>
      </c>
      <c r="AD139" s="90" t="e">
        <f t="shared" si="19"/>
        <v>#NUM!</v>
      </c>
      <c r="AE139" s="6" t="e">
        <f t="shared" si="20"/>
        <v>#DIV/0!</v>
      </c>
      <c r="AF139" s="6" t="e">
        <f>IF(SUM(AE140:$AE$245)-SUM(AJ140:$AK$245,AN140:$AN$245)&gt;$E$42,0,IF(SUM($AF$125:AF138)=0,$E$42-(SUM(AE140:$AE$245)-SUM(AJ140:$AK$245,AN140:$AN$245)),AE139-SUM(AJ139:AK139,AN139)))</f>
        <v>#DIV/0!</v>
      </c>
      <c r="AG139" s="89" t="e">
        <f t="shared" si="21"/>
        <v>#DIV/0!</v>
      </c>
      <c r="AH139" s="6" t="e">
        <f t="shared" si="43"/>
        <v>#DIV/0!</v>
      </c>
      <c r="AI139" s="6" t="e">
        <f t="shared" si="22"/>
        <v>#DIV/0!</v>
      </c>
      <c r="AJ139" s="6">
        <f t="shared" si="23"/>
        <v>0</v>
      </c>
      <c r="AK139" s="90">
        <f t="shared" si="24"/>
        <v>0</v>
      </c>
      <c r="AL139" s="6" t="e">
        <f t="shared" si="25"/>
        <v>#DIV/0!</v>
      </c>
      <c r="AM139" s="6" t="e">
        <f t="shared" si="44"/>
        <v>#NUM!</v>
      </c>
      <c r="AN139" s="6">
        <f t="shared" si="26"/>
        <v>0</v>
      </c>
      <c r="AO139" s="6" t="e">
        <f t="shared" si="27"/>
        <v>#DIV/0!</v>
      </c>
      <c r="AP139" s="15">
        <f>IFERROR(XIRR($AO$125:AO139,$D$125:D139),-100%)</f>
        <v>-1</v>
      </c>
      <c r="AQ139" s="129" t="e">
        <f t="shared" si="28"/>
        <v>#NUM!</v>
      </c>
      <c r="AR139" s="300">
        <v>0</v>
      </c>
      <c r="AS139" s="130" t="e">
        <f t="shared" si="29"/>
        <v>#DIV/0!</v>
      </c>
      <c r="AT139" s="10">
        <f>IFERROR(XIRR($AS$125:$AS139,$D$125:$D139),-100%)</f>
        <v>-1</v>
      </c>
      <c r="AU139" s="300">
        <v>0</v>
      </c>
      <c r="AV139" s="130" t="e">
        <f t="shared" si="30"/>
        <v>#DIV/0!</v>
      </c>
      <c r="AW139" s="131">
        <f>IFERROR(XIRR($AV$125:$AV139,$D$125:$D139),-100%)</f>
        <v>-1</v>
      </c>
      <c r="AX139" s="213">
        <f t="shared" si="45"/>
        <v>0</v>
      </c>
      <c r="AY139" s="200" t="e">
        <f t="shared" si="31"/>
        <v>#DIV/0!</v>
      </c>
      <c r="AZ139" s="159">
        <f t="shared" si="32"/>
        <v>0</v>
      </c>
      <c r="BA139" s="148" t="e">
        <f t="shared" si="46"/>
        <v>#NUM!</v>
      </c>
      <c r="BB139" s="6" t="e">
        <f t="shared" si="33"/>
        <v>#NUM!</v>
      </c>
      <c r="BC139" s="6" t="e">
        <f t="shared" si="34"/>
        <v>#NUM!</v>
      </c>
      <c r="BD139" s="149" t="e">
        <f t="shared" si="35"/>
        <v>#NUM!</v>
      </c>
      <c r="BE139" s="148" t="e">
        <f t="shared" si="47"/>
        <v>#NUM!</v>
      </c>
      <c r="BF139" s="6" t="e">
        <f t="shared" si="36"/>
        <v>#NUM!</v>
      </c>
      <c r="BG139" s="6" t="e">
        <f t="shared" si="37"/>
        <v>#DIV/0!</v>
      </c>
      <c r="BH139" s="6" t="e">
        <f t="shared" si="48"/>
        <v>#NUM!</v>
      </c>
      <c r="BI139" s="138" t="e">
        <f t="shared" si="38"/>
        <v>#DIV/0!</v>
      </c>
    </row>
    <row r="140" spans="1:61" x14ac:dyDescent="0.25">
      <c r="A140"/>
      <c r="B140" s="9">
        <f t="shared" si="50"/>
        <v>2</v>
      </c>
      <c r="C140" s="13">
        <v>15</v>
      </c>
      <c r="D140" s="12">
        <f t="shared" si="39"/>
        <v>486</v>
      </c>
      <c r="E140" s="6">
        <f>INDEX(GC!$G$25:$G$144,MATCH($D140,GC!$C$25:$C$144,0))</f>
        <v>0</v>
      </c>
      <c r="F140" s="6">
        <f>INDEX(GC!$I$25:$I$144,MATCH($D140,GC!$C$25:$C$144,0))</f>
        <v>0</v>
      </c>
      <c r="G140" s="6">
        <f t="shared" si="40"/>
        <v>0</v>
      </c>
      <c r="H140" s="6">
        <f t="shared" si="2"/>
        <v>0</v>
      </c>
      <c r="I140" s="6">
        <f>H140*$E$25</f>
        <v>0</v>
      </c>
      <c r="J140" s="6">
        <f>IF(SUM($I$126:I140)&gt;$E$61, SUM($I$126:I140)-SUM($J$125:J139)-$E$61,0)</f>
        <v>0</v>
      </c>
      <c r="K140" s="6" t="e">
        <f t="shared" si="3"/>
        <v>#DIV/0!</v>
      </c>
      <c r="L140" s="6" t="e">
        <f t="shared" si="4"/>
        <v>#DIV/0!</v>
      </c>
      <c r="M140" s="6" t="e">
        <f t="shared" si="5"/>
        <v>#DIV/0!</v>
      </c>
      <c r="N140" s="6">
        <f t="shared" si="6"/>
        <v>0</v>
      </c>
      <c r="O140" s="6">
        <f t="shared" si="7"/>
        <v>0</v>
      </c>
      <c r="P140" s="6">
        <f t="shared" si="8"/>
        <v>0</v>
      </c>
      <c r="Q140" s="6">
        <f t="shared" si="9"/>
        <v>0</v>
      </c>
      <c r="R140" s="6" t="e">
        <f t="shared" si="41"/>
        <v>#DIV/0!</v>
      </c>
      <c r="S140" s="6" t="e">
        <f t="shared" si="10"/>
        <v>#DIV/0!</v>
      </c>
      <c r="T140" s="11" t="e">
        <f>SUM($R$126:R140)/($E$87)</f>
        <v>#DIV/0!</v>
      </c>
      <c r="U140" s="89" t="e">
        <f t="shared" si="11"/>
        <v>#DIV/0!</v>
      </c>
      <c r="V140" s="6" t="e">
        <f t="shared" si="12"/>
        <v>#DIV/0!</v>
      </c>
      <c r="W140" s="6" t="e">
        <f t="shared" si="42"/>
        <v>#DIV/0!</v>
      </c>
      <c r="X140" s="6" t="e">
        <f t="shared" si="13"/>
        <v>#DIV/0!</v>
      </c>
      <c r="Y140" s="6" t="e">
        <f t="shared" si="14"/>
        <v>#DIV/0!</v>
      </c>
      <c r="Z140" s="90" t="e">
        <f t="shared" si="15"/>
        <v>#DIV/0!</v>
      </c>
      <c r="AA140" s="89" t="e">
        <f t="shared" si="16"/>
        <v>#DIV/0!</v>
      </c>
      <c r="AB140" s="6" t="e">
        <f t="shared" si="17"/>
        <v>#DIV/0!</v>
      </c>
      <c r="AC140" s="6" t="e">
        <f t="shared" si="18"/>
        <v>#NUM!</v>
      </c>
      <c r="AD140" s="90" t="e">
        <f t="shared" si="19"/>
        <v>#NUM!</v>
      </c>
      <c r="AE140" s="6" t="e">
        <f t="shared" si="20"/>
        <v>#DIV/0!</v>
      </c>
      <c r="AF140" s="6" t="e">
        <f>IF(SUM(AE141:$AE$245)-SUM(AJ141:$AK$245,AN141:$AN$245)&gt;$E$42,0,IF(SUM($AF$125:AF139)=0,$E$42-(SUM(AE141:$AE$245)-SUM(AJ141:$AK$245,AN141:$AN$245)),AE140-SUM(AJ140:AK140,AN140)))</f>
        <v>#DIV/0!</v>
      </c>
      <c r="AG140" s="89" t="e">
        <f t="shared" si="21"/>
        <v>#DIV/0!</v>
      </c>
      <c r="AH140" s="6" t="e">
        <f t="shared" si="43"/>
        <v>#DIV/0!</v>
      </c>
      <c r="AI140" s="6" t="e">
        <f t="shared" si="22"/>
        <v>#DIV/0!</v>
      </c>
      <c r="AJ140" s="6">
        <f t="shared" si="23"/>
        <v>0</v>
      </c>
      <c r="AK140" s="90">
        <f t="shared" si="24"/>
        <v>0</v>
      </c>
      <c r="AL140" s="6" t="e">
        <f t="shared" si="25"/>
        <v>#DIV/0!</v>
      </c>
      <c r="AM140" s="6" t="e">
        <f t="shared" si="44"/>
        <v>#NUM!</v>
      </c>
      <c r="AN140" s="6">
        <f t="shared" si="26"/>
        <v>0</v>
      </c>
      <c r="AO140" s="6" t="e">
        <f t="shared" si="27"/>
        <v>#DIV/0!</v>
      </c>
      <c r="AP140" s="15">
        <f>IFERROR(XIRR($AO$125:AO140,$D$125:D140),-100%)</f>
        <v>-1</v>
      </c>
      <c r="AQ140" s="129" t="e">
        <f t="shared" si="28"/>
        <v>#NUM!</v>
      </c>
      <c r="AR140" s="300">
        <v>0</v>
      </c>
      <c r="AS140" s="130" t="e">
        <f t="shared" si="29"/>
        <v>#DIV/0!</v>
      </c>
      <c r="AT140" s="10">
        <f>IFERROR(XIRR($AS$125:$AS140,$D$125:$D140),-100%)</f>
        <v>-1</v>
      </c>
      <c r="AU140" s="300">
        <v>0</v>
      </c>
      <c r="AV140" s="130" t="e">
        <f t="shared" si="30"/>
        <v>#DIV/0!</v>
      </c>
      <c r="AW140" s="131">
        <f>IFERROR(XIRR($AV$125:$AV140,$D$125:$D140),-100%)</f>
        <v>-1</v>
      </c>
      <c r="AX140" s="213">
        <f t="shared" si="45"/>
        <v>0</v>
      </c>
      <c r="AY140" s="200" t="e">
        <f t="shared" si="31"/>
        <v>#DIV/0!</v>
      </c>
      <c r="AZ140" s="159">
        <f t="shared" si="32"/>
        <v>0</v>
      </c>
      <c r="BA140" s="148" t="e">
        <f t="shared" si="46"/>
        <v>#NUM!</v>
      </c>
      <c r="BB140" s="6" t="e">
        <f t="shared" si="33"/>
        <v>#NUM!</v>
      </c>
      <c r="BC140" s="6" t="e">
        <f t="shared" si="34"/>
        <v>#NUM!</v>
      </c>
      <c r="BD140" s="149" t="e">
        <f t="shared" si="35"/>
        <v>#NUM!</v>
      </c>
      <c r="BE140" s="148" t="e">
        <f t="shared" si="47"/>
        <v>#NUM!</v>
      </c>
      <c r="BF140" s="6" t="e">
        <f t="shared" si="36"/>
        <v>#NUM!</v>
      </c>
      <c r="BG140" s="6" t="e">
        <f t="shared" si="37"/>
        <v>#DIV/0!</v>
      </c>
      <c r="BH140" s="6" t="e">
        <f t="shared" si="48"/>
        <v>#NUM!</v>
      </c>
      <c r="BI140" s="138" t="e">
        <f t="shared" si="38"/>
        <v>#DIV/0!</v>
      </c>
    </row>
    <row r="141" spans="1:61" x14ac:dyDescent="0.25">
      <c r="A141"/>
      <c r="B141" s="9">
        <f t="shared" si="50"/>
        <v>2</v>
      </c>
      <c r="C141" s="13">
        <v>16</v>
      </c>
      <c r="D141" s="12">
        <f t="shared" si="39"/>
        <v>517</v>
      </c>
      <c r="E141" s="6">
        <f>INDEX(GC!$G$25:$G$144,MATCH($D141,GC!$C$25:$C$144,0))</f>
        <v>0</v>
      </c>
      <c r="F141" s="6">
        <f>INDEX(GC!$I$25:$I$144,MATCH($D141,GC!$C$25:$C$144,0))</f>
        <v>0</v>
      </c>
      <c r="G141" s="6">
        <f t="shared" si="40"/>
        <v>0</v>
      </c>
      <c r="H141" s="6">
        <f t="shared" si="2"/>
        <v>0</v>
      </c>
      <c r="I141" s="6">
        <f t="shared" ref="I141:I204" si="51">H141*$E$25</f>
        <v>0</v>
      </c>
      <c r="J141" s="6">
        <f>IF(SUM($I$126:I141)&gt;$E$61, SUM($I$126:I141)-SUM($J$125:J140)-$E$61,0)</f>
        <v>0</v>
      </c>
      <c r="K141" s="6" t="e">
        <f t="shared" si="3"/>
        <v>#DIV/0!</v>
      </c>
      <c r="L141" s="6" t="e">
        <f t="shared" si="4"/>
        <v>#DIV/0!</v>
      </c>
      <c r="M141" s="6" t="e">
        <f t="shared" si="5"/>
        <v>#DIV/0!</v>
      </c>
      <c r="N141" s="6">
        <f t="shared" si="6"/>
        <v>0</v>
      </c>
      <c r="O141" s="6">
        <f t="shared" si="7"/>
        <v>0</v>
      </c>
      <c r="P141" s="6">
        <f t="shared" si="8"/>
        <v>0</v>
      </c>
      <c r="Q141" s="6">
        <f t="shared" si="9"/>
        <v>0</v>
      </c>
      <c r="R141" s="6" t="e">
        <f t="shared" si="41"/>
        <v>#DIV/0!</v>
      </c>
      <c r="S141" s="6" t="e">
        <f t="shared" si="10"/>
        <v>#DIV/0!</v>
      </c>
      <c r="T141" s="11" t="e">
        <f>SUM($R$126:R141)/($E$87)</f>
        <v>#DIV/0!</v>
      </c>
      <c r="U141" s="89" t="e">
        <f t="shared" si="11"/>
        <v>#DIV/0!</v>
      </c>
      <c r="V141" s="6" t="e">
        <f t="shared" si="12"/>
        <v>#DIV/0!</v>
      </c>
      <c r="W141" s="6" t="e">
        <f t="shared" si="42"/>
        <v>#DIV/0!</v>
      </c>
      <c r="X141" s="6" t="e">
        <f t="shared" si="13"/>
        <v>#DIV/0!</v>
      </c>
      <c r="Y141" s="6" t="e">
        <f t="shared" si="14"/>
        <v>#DIV/0!</v>
      </c>
      <c r="Z141" s="90" t="e">
        <f t="shared" si="15"/>
        <v>#DIV/0!</v>
      </c>
      <c r="AA141" s="89" t="e">
        <f t="shared" si="16"/>
        <v>#DIV/0!</v>
      </c>
      <c r="AB141" s="6" t="e">
        <f t="shared" si="17"/>
        <v>#DIV/0!</v>
      </c>
      <c r="AC141" s="6" t="e">
        <f t="shared" si="18"/>
        <v>#NUM!</v>
      </c>
      <c r="AD141" s="90" t="e">
        <f t="shared" si="19"/>
        <v>#NUM!</v>
      </c>
      <c r="AE141" s="6" t="e">
        <f t="shared" si="20"/>
        <v>#DIV/0!</v>
      </c>
      <c r="AF141" s="6" t="e">
        <f>IF(SUM(AE142:$AE$245)-SUM(AJ142:$AK$245,AN142:$AN$245)&gt;$E$42,0,IF(SUM($AF$125:AF140)=0,$E$42-(SUM(AE142:$AE$245)-SUM(AJ142:$AK$245,AN142:$AN$245)),AE141-SUM(AJ141:AK141,AN141)))</f>
        <v>#DIV/0!</v>
      </c>
      <c r="AG141" s="89" t="e">
        <f t="shared" si="21"/>
        <v>#DIV/0!</v>
      </c>
      <c r="AH141" s="6" t="e">
        <f t="shared" si="43"/>
        <v>#DIV/0!</v>
      </c>
      <c r="AI141" s="6" t="e">
        <f t="shared" si="22"/>
        <v>#DIV/0!</v>
      </c>
      <c r="AJ141" s="6">
        <f t="shared" si="23"/>
        <v>0</v>
      </c>
      <c r="AK141" s="90">
        <f t="shared" si="24"/>
        <v>0</v>
      </c>
      <c r="AL141" s="6" t="e">
        <f t="shared" si="25"/>
        <v>#DIV/0!</v>
      </c>
      <c r="AM141" s="6" t="e">
        <f t="shared" si="44"/>
        <v>#NUM!</v>
      </c>
      <c r="AN141" s="6">
        <f t="shared" si="26"/>
        <v>0</v>
      </c>
      <c r="AO141" s="6" t="e">
        <f t="shared" si="27"/>
        <v>#DIV/0!</v>
      </c>
      <c r="AP141" s="15">
        <f>IFERROR(XIRR($AO$125:AO141,$D$125:D141),-100%)</f>
        <v>-1</v>
      </c>
      <c r="AQ141" s="129" t="e">
        <f t="shared" si="28"/>
        <v>#NUM!</v>
      </c>
      <c r="AR141" s="300">
        <v>0</v>
      </c>
      <c r="AS141" s="130" t="e">
        <f t="shared" si="29"/>
        <v>#DIV/0!</v>
      </c>
      <c r="AT141" s="10">
        <f>IFERROR(XIRR($AS$125:$AS141,$D$125:$D141),-100%)</f>
        <v>-1</v>
      </c>
      <c r="AU141" s="300">
        <v>0</v>
      </c>
      <c r="AV141" s="130" t="e">
        <f t="shared" si="30"/>
        <v>#DIV/0!</v>
      </c>
      <c r="AW141" s="131">
        <f>IFERROR(XIRR($AV$125:$AV141,$D$125:$D141),-100%)</f>
        <v>-1</v>
      </c>
      <c r="AX141" s="213">
        <f t="shared" si="45"/>
        <v>0</v>
      </c>
      <c r="AY141" s="200" t="e">
        <f t="shared" si="31"/>
        <v>#DIV/0!</v>
      </c>
      <c r="AZ141" s="159">
        <f t="shared" si="32"/>
        <v>0</v>
      </c>
      <c r="BA141" s="148" t="e">
        <f t="shared" si="46"/>
        <v>#NUM!</v>
      </c>
      <c r="BB141" s="6" t="e">
        <f t="shared" si="33"/>
        <v>#NUM!</v>
      </c>
      <c r="BC141" s="6" t="e">
        <f t="shared" si="34"/>
        <v>#NUM!</v>
      </c>
      <c r="BD141" s="149" t="e">
        <f t="shared" si="35"/>
        <v>#NUM!</v>
      </c>
      <c r="BE141" s="148" t="e">
        <f t="shared" si="47"/>
        <v>#NUM!</v>
      </c>
      <c r="BF141" s="6" t="e">
        <f t="shared" si="36"/>
        <v>#NUM!</v>
      </c>
      <c r="BG141" s="6" t="e">
        <f t="shared" si="37"/>
        <v>#DIV/0!</v>
      </c>
      <c r="BH141" s="6" t="e">
        <f t="shared" si="48"/>
        <v>#NUM!</v>
      </c>
      <c r="BI141" s="138" t="e">
        <f t="shared" si="38"/>
        <v>#DIV/0!</v>
      </c>
    </row>
    <row r="142" spans="1:61" x14ac:dyDescent="0.25">
      <c r="A142"/>
      <c r="B142" s="9">
        <f t="shared" si="50"/>
        <v>2</v>
      </c>
      <c r="C142" s="13">
        <v>17</v>
      </c>
      <c r="D142" s="12">
        <f t="shared" si="39"/>
        <v>547</v>
      </c>
      <c r="E142" s="6">
        <f>INDEX(GC!$G$25:$G$144,MATCH($D142,GC!$C$25:$C$144,0))</f>
        <v>0</v>
      </c>
      <c r="F142" s="6">
        <f>INDEX(GC!$I$25:$I$144,MATCH($D142,GC!$C$25:$C$144,0))</f>
        <v>0</v>
      </c>
      <c r="G142" s="6">
        <f t="shared" si="40"/>
        <v>0</v>
      </c>
      <c r="H142" s="6">
        <f t="shared" si="2"/>
        <v>0</v>
      </c>
      <c r="I142" s="6">
        <f t="shared" si="51"/>
        <v>0</v>
      </c>
      <c r="J142" s="6">
        <f>IF(SUM($I$126:I142)&gt;$E$61, SUM($I$126:I142)-SUM($J$125:J141)-$E$61,0)</f>
        <v>0</v>
      </c>
      <c r="K142" s="6" t="e">
        <f t="shared" si="3"/>
        <v>#DIV/0!</v>
      </c>
      <c r="L142" s="6" t="e">
        <f t="shared" si="4"/>
        <v>#DIV/0!</v>
      </c>
      <c r="M142" s="6" t="e">
        <f t="shared" si="5"/>
        <v>#DIV/0!</v>
      </c>
      <c r="N142" s="6">
        <f t="shared" si="6"/>
        <v>0</v>
      </c>
      <c r="O142" s="6">
        <f t="shared" si="7"/>
        <v>0</v>
      </c>
      <c r="P142" s="6">
        <f t="shared" si="8"/>
        <v>0</v>
      </c>
      <c r="Q142" s="6">
        <f t="shared" si="9"/>
        <v>0</v>
      </c>
      <c r="R142" s="6" t="e">
        <f t="shared" si="41"/>
        <v>#DIV/0!</v>
      </c>
      <c r="S142" s="6" t="e">
        <f t="shared" si="10"/>
        <v>#DIV/0!</v>
      </c>
      <c r="T142" s="11" t="e">
        <f>SUM($R$126:R142)/($E$87)</f>
        <v>#DIV/0!</v>
      </c>
      <c r="U142" s="89" t="e">
        <f t="shared" si="11"/>
        <v>#DIV/0!</v>
      </c>
      <c r="V142" s="6" t="e">
        <f t="shared" si="12"/>
        <v>#DIV/0!</v>
      </c>
      <c r="W142" s="6" t="e">
        <f t="shared" si="42"/>
        <v>#DIV/0!</v>
      </c>
      <c r="X142" s="6" t="e">
        <f t="shared" si="13"/>
        <v>#DIV/0!</v>
      </c>
      <c r="Y142" s="6" t="e">
        <f t="shared" si="14"/>
        <v>#DIV/0!</v>
      </c>
      <c r="Z142" s="90" t="e">
        <f t="shared" si="15"/>
        <v>#DIV/0!</v>
      </c>
      <c r="AA142" s="89" t="e">
        <f t="shared" si="16"/>
        <v>#DIV/0!</v>
      </c>
      <c r="AB142" s="6" t="e">
        <f t="shared" si="17"/>
        <v>#DIV/0!</v>
      </c>
      <c r="AC142" s="6" t="e">
        <f t="shared" si="18"/>
        <v>#NUM!</v>
      </c>
      <c r="AD142" s="90" t="e">
        <f t="shared" si="19"/>
        <v>#NUM!</v>
      </c>
      <c r="AE142" s="6" t="e">
        <f t="shared" si="20"/>
        <v>#DIV/0!</v>
      </c>
      <c r="AF142" s="6" t="e">
        <f>IF(SUM(AE143:$AE$245)-SUM(AJ143:$AK$245,AN143:$AN$245)&gt;$E$42,0,IF(SUM($AF$125:AF141)=0,$E$42-(SUM(AE143:$AE$245)-SUM(AJ143:$AK$245,AN143:$AN$245)),AE142-SUM(AJ142:AK142,AN142)))</f>
        <v>#DIV/0!</v>
      </c>
      <c r="AG142" s="89" t="e">
        <f t="shared" si="21"/>
        <v>#DIV/0!</v>
      </c>
      <c r="AH142" s="6" t="e">
        <f t="shared" si="43"/>
        <v>#DIV/0!</v>
      </c>
      <c r="AI142" s="6" t="e">
        <f t="shared" si="22"/>
        <v>#DIV/0!</v>
      </c>
      <c r="AJ142" s="6">
        <f t="shared" si="23"/>
        <v>0</v>
      </c>
      <c r="AK142" s="90">
        <f t="shared" si="24"/>
        <v>0</v>
      </c>
      <c r="AL142" s="6" t="e">
        <f t="shared" si="25"/>
        <v>#DIV/0!</v>
      </c>
      <c r="AM142" s="6" t="e">
        <f t="shared" si="44"/>
        <v>#NUM!</v>
      </c>
      <c r="AN142" s="6">
        <f t="shared" si="26"/>
        <v>0</v>
      </c>
      <c r="AO142" s="6" t="e">
        <f t="shared" si="27"/>
        <v>#DIV/0!</v>
      </c>
      <c r="AP142" s="15">
        <f>IFERROR(XIRR($AO$125:AO142,$D$125:D142),-100%)</f>
        <v>-1</v>
      </c>
      <c r="AQ142" s="129" t="e">
        <f t="shared" si="28"/>
        <v>#NUM!</v>
      </c>
      <c r="AR142" s="300">
        <v>0</v>
      </c>
      <c r="AS142" s="130" t="e">
        <f t="shared" si="29"/>
        <v>#DIV/0!</v>
      </c>
      <c r="AT142" s="10">
        <f>IFERROR(XIRR($AS$125:$AS142,$D$125:$D142),-100%)</f>
        <v>-1</v>
      </c>
      <c r="AU142" s="300">
        <v>0</v>
      </c>
      <c r="AV142" s="130" t="e">
        <f t="shared" si="30"/>
        <v>#DIV/0!</v>
      </c>
      <c r="AW142" s="131">
        <f>IFERROR(XIRR($AV$125:$AV142,$D$125:$D142),-100%)</f>
        <v>-1</v>
      </c>
      <c r="AX142" s="213">
        <f t="shared" si="45"/>
        <v>0</v>
      </c>
      <c r="AY142" s="200" t="e">
        <f t="shared" si="31"/>
        <v>#DIV/0!</v>
      </c>
      <c r="AZ142" s="159">
        <f t="shared" si="32"/>
        <v>0</v>
      </c>
      <c r="BA142" s="148" t="e">
        <f t="shared" si="46"/>
        <v>#NUM!</v>
      </c>
      <c r="BB142" s="6" t="e">
        <f t="shared" si="33"/>
        <v>#NUM!</v>
      </c>
      <c r="BC142" s="6" t="e">
        <f t="shared" si="34"/>
        <v>#NUM!</v>
      </c>
      <c r="BD142" s="149" t="e">
        <f t="shared" si="35"/>
        <v>#NUM!</v>
      </c>
      <c r="BE142" s="148" t="e">
        <f t="shared" si="47"/>
        <v>#NUM!</v>
      </c>
      <c r="BF142" s="6" t="e">
        <f t="shared" si="36"/>
        <v>#NUM!</v>
      </c>
      <c r="BG142" s="6" t="e">
        <f t="shared" si="37"/>
        <v>#DIV/0!</v>
      </c>
      <c r="BH142" s="6" t="e">
        <f t="shared" si="48"/>
        <v>#NUM!</v>
      </c>
      <c r="BI142" s="138" t="e">
        <f t="shared" si="38"/>
        <v>#DIV/0!</v>
      </c>
    </row>
    <row r="143" spans="1:61" x14ac:dyDescent="0.25">
      <c r="A143"/>
      <c r="B143" s="9">
        <f t="shared" si="50"/>
        <v>2</v>
      </c>
      <c r="C143" s="13">
        <v>18</v>
      </c>
      <c r="D143" s="12">
        <f t="shared" si="39"/>
        <v>578</v>
      </c>
      <c r="E143" s="6">
        <f>INDEX(GC!$G$25:$G$144,MATCH($D143,GC!$C$25:$C$144,0))</f>
        <v>0</v>
      </c>
      <c r="F143" s="6">
        <f>INDEX(GC!$I$25:$I$144,MATCH($D143,GC!$C$25:$C$144,0))</f>
        <v>0</v>
      </c>
      <c r="G143" s="6">
        <f t="shared" si="40"/>
        <v>0</v>
      </c>
      <c r="H143" s="6">
        <f t="shared" si="2"/>
        <v>0</v>
      </c>
      <c r="I143" s="6">
        <f t="shared" si="51"/>
        <v>0</v>
      </c>
      <c r="J143" s="6">
        <f>IF(SUM($I$126:I143)&gt;$E$61, SUM($I$126:I143)-SUM($J$125:J142)-$E$61,0)</f>
        <v>0</v>
      </c>
      <c r="K143" s="6" t="e">
        <f t="shared" si="3"/>
        <v>#DIV/0!</v>
      </c>
      <c r="L143" s="6" t="e">
        <f t="shared" si="4"/>
        <v>#DIV/0!</v>
      </c>
      <c r="M143" s="6" t="e">
        <f t="shared" si="5"/>
        <v>#DIV/0!</v>
      </c>
      <c r="N143" s="6">
        <f t="shared" si="6"/>
        <v>0</v>
      </c>
      <c r="O143" s="6">
        <f t="shared" si="7"/>
        <v>0</v>
      </c>
      <c r="P143" s="6">
        <f t="shared" si="8"/>
        <v>0</v>
      </c>
      <c r="Q143" s="6">
        <f t="shared" si="9"/>
        <v>0</v>
      </c>
      <c r="R143" s="6" t="e">
        <f t="shared" si="41"/>
        <v>#DIV/0!</v>
      </c>
      <c r="S143" s="6" t="e">
        <f t="shared" si="10"/>
        <v>#DIV/0!</v>
      </c>
      <c r="T143" s="11" t="e">
        <f>SUM($R$126:R143)/($E$87)</f>
        <v>#DIV/0!</v>
      </c>
      <c r="U143" s="89" t="e">
        <f t="shared" si="11"/>
        <v>#DIV/0!</v>
      </c>
      <c r="V143" s="6" t="e">
        <f t="shared" si="12"/>
        <v>#DIV/0!</v>
      </c>
      <c r="W143" s="6" t="e">
        <f t="shared" si="42"/>
        <v>#DIV/0!</v>
      </c>
      <c r="X143" s="6" t="e">
        <f t="shared" si="13"/>
        <v>#DIV/0!</v>
      </c>
      <c r="Y143" s="6" t="e">
        <f t="shared" si="14"/>
        <v>#DIV/0!</v>
      </c>
      <c r="Z143" s="90" t="e">
        <f t="shared" si="15"/>
        <v>#DIV/0!</v>
      </c>
      <c r="AA143" s="89" t="e">
        <f t="shared" si="16"/>
        <v>#DIV/0!</v>
      </c>
      <c r="AB143" s="6" t="e">
        <f t="shared" si="17"/>
        <v>#DIV/0!</v>
      </c>
      <c r="AC143" s="6" t="e">
        <f t="shared" si="18"/>
        <v>#NUM!</v>
      </c>
      <c r="AD143" s="90" t="e">
        <f t="shared" si="19"/>
        <v>#NUM!</v>
      </c>
      <c r="AE143" s="6" t="e">
        <f t="shared" si="20"/>
        <v>#DIV/0!</v>
      </c>
      <c r="AF143" s="6" t="e">
        <f>IF(SUM(AE144:$AE$245)-SUM(AJ144:$AK$245,AN144:$AN$245)&gt;$E$42,0,IF(SUM($AF$125:AF142)=0,$E$42-(SUM(AE144:$AE$245)-SUM(AJ144:$AK$245,AN144:$AN$245)),AE143-SUM(AJ143:AK143,AN143)))</f>
        <v>#DIV/0!</v>
      </c>
      <c r="AG143" s="89" t="e">
        <f t="shared" si="21"/>
        <v>#DIV/0!</v>
      </c>
      <c r="AH143" s="6" t="e">
        <f t="shared" si="43"/>
        <v>#DIV/0!</v>
      </c>
      <c r="AI143" s="6" t="e">
        <f t="shared" si="22"/>
        <v>#DIV/0!</v>
      </c>
      <c r="AJ143" s="6">
        <f t="shared" si="23"/>
        <v>0</v>
      </c>
      <c r="AK143" s="90">
        <f t="shared" si="24"/>
        <v>0</v>
      </c>
      <c r="AL143" s="6" t="e">
        <f t="shared" si="25"/>
        <v>#DIV/0!</v>
      </c>
      <c r="AM143" s="6" t="e">
        <f t="shared" si="44"/>
        <v>#NUM!</v>
      </c>
      <c r="AN143" s="6">
        <f t="shared" si="26"/>
        <v>0</v>
      </c>
      <c r="AO143" s="6" t="e">
        <f t="shared" si="27"/>
        <v>#DIV/0!</v>
      </c>
      <c r="AP143" s="15">
        <f>IFERROR(XIRR($AO$125:AO143,$D$125:D143),-100%)</f>
        <v>-1</v>
      </c>
      <c r="AQ143" s="129" t="e">
        <f t="shared" si="28"/>
        <v>#NUM!</v>
      </c>
      <c r="AR143" s="300">
        <v>0</v>
      </c>
      <c r="AS143" s="130" t="e">
        <f t="shared" si="29"/>
        <v>#DIV/0!</v>
      </c>
      <c r="AT143" s="10">
        <f>IFERROR(XIRR($AS$125:$AS143,$D$125:$D143),-100%)</f>
        <v>-1</v>
      </c>
      <c r="AU143" s="300">
        <v>0</v>
      </c>
      <c r="AV143" s="130" t="e">
        <f t="shared" si="30"/>
        <v>#DIV/0!</v>
      </c>
      <c r="AW143" s="131">
        <f>IFERROR(XIRR($AV$125:$AV143,$D$125:$D143),-100%)</f>
        <v>-1</v>
      </c>
      <c r="AX143" s="213">
        <f t="shared" si="45"/>
        <v>0</v>
      </c>
      <c r="AY143" s="200" t="e">
        <f t="shared" si="31"/>
        <v>#DIV/0!</v>
      </c>
      <c r="AZ143" s="159">
        <f t="shared" si="32"/>
        <v>0</v>
      </c>
      <c r="BA143" s="148" t="e">
        <f t="shared" si="46"/>
        <v>#NUM!</v>
      </c>
      <c r="BB143" s="6" t="e">
        <f t="shared" si="33"/>
        <v>#NUM!</v>
      </c>
      <c r="BC143" s="6" t="e">
        <f t="shared" si="34"/>
        <v>#NUM!</v>
      </c>
      <c r="BD143" s="149" t="e">
        <f t="shared" si="35"/>
        <v>#NUM!</v>
      </c>
      <c r="BE143" s="148" t="e">
        <f t="shared" si="47"/>
        <v>#NUM!</v>
      </c>
      <c r="BF143" s="6" t="e">
        <f t="shared" si="36"/>
        <v>#NUM!</v>
      </c>
      <c r="BG143" s="6" t="e">
        <f t="shared" si="37"/>
        <v>#DIV/0!</v>
      </c>
      <c r="BH143" s="6" t="e">
        <f t="shared" si="48"/>
        <v>#NUM!</v>
      </c>
      <c r="BI143" s="138" t="e">
        <f t="shared" si="38"/>
        <v>#DIV/0!</v>
      </c>
    </row>
    <row r="144" spans="1:61" x14ac:dyDescent="0.25">
      <c r="A144"/>
      <c r="B144" s="9">
        <f t="shared" si="50"/>
        <v>2</v>
      </c>
      <c r="C144" s="13">
        <v>19</v>
      </c>
      <c r="D144" s="12">
        <f t="shared" si="39"/>
        <v>609</v>
      </c>
      <c r="E144" s="6">
        <f>INDEX(GC!$G$25:$G$144,MATCH($D144,GC!$C$25:$C$144,0))</f>
        <v>0</v>
      </c>
      <c r="F144" s="6">
        <f>INDEX(GC!$I$25:$I$144,MATCH($D144,GC!$C$25:$C$144,0))</f>
        <v>0</v>
      </c>
      <c r="G144" s="6">
        <f t="shared" si="40"/>
        <v>0</v>
      </c>
      <c r="H144" s="6">
        <f t="shared" si="2"/>
        <v>0</v>
      </c>
      <c r="I144" s="6">
        <f t="shared" si="51"/>
        <v>0</v>
      </c>
      <c r="J144" s="6">
        <f>IF(SUM($I$126:I144)&gt;$E$61, SUM($I$126:I144)-SUM($J$125:J143)-$E$61,0)</f>
        <v>0</v>
      </c>
      <c r="K144" s="6" t="e">
        <f t="shared" si="3"/>
        <v>#DIV/0!</v>
      </c>
      <c r="L144" s="6" t="e">
        <f t="shared" si="4"/>
        <v>#DIV/0!</v>
      </c>
      <c r="M144" s="6" t="e">
        <f t="shared" si="5"/>
        <v>#DIV/0!</v>
      </c>
      <c r="N144" s="6">
        <f t="shared" si="6"/>
        <v>0</v>
      </c>
      <c r="O144" s="6">
        <f t="shared" si="7"/>
        <v>0</v>
      </c>
      <c r="P144" s="6">
        <f t="shared" si="8"/>
        <v>0</v>
      </c>
      <c r="Q144" s="6">
        <f t="shared" si="9"/>
        <v>0</v>
      </c>
      <c r="R144" s="6" t="e">
        <f t="shared" si="41"/>
        <v>#DIV/0!</v>
      </c>
      <c r="S144" s="6" t="e">
        <f t="shared" si="10"/>
        <v>#DIV/0!</v>
      </c>
      <c r="T144" s="11" t="e">
        <f>SUM($R$126:R144)/($E$87)</f>
        <v>#DIV/0!</v>
      </c>
      <c r="U144" s="89" t="e">
        <f t="shared" si="11"/>
        <v>#DIV/0!</v>
      </c>
      <c r="V144" s="6" t="e">
        <f t="shared" si="12"/>
        <v>#DIV/0!</v>
      </c>
      <c r="W144" s="6" t="e">
        <f t="shared" si="42"/>
        <v>#DIV/0!</v>
      </c>
      <c r="X144" s="6" t="e">
        <f t="shared" si="13"/>
        <v>#DIV/0!</v>
      </c>
      <c r="Y144" s="6" t="e">
        <f t="shared" si="14"/>
        <v>#DIV/0!</v>
      </c>
      <c r="Z144" s="90" t="e">
        <f t="shared" si="15"/>
        <v>#DIV/0!</v>
      </c>
      <c r="AA144" s="89" t="e">
        <f t="shared" si="16"/>
        <v>#DIV/0!</v>
      </c>
      <c r="AB144" s="6" t="e">
        <f t="shared" si="17"/>
        <v>#DIV/0!</v>
      </c>
      <c r="AC144" s="6" t="e">
        <f t="shared" si="18"/>
        <v>#NUM!</v>
      </c>
      <c r="AD144" s="90" t="e">
        <f t="shared" si="19"/>
        <v>#NUM!</v>
      </c>
      <c r="AE144" s="6" t="e">
        <f t="shared" si="20"/>
        <v>#DIV/0!</v>
      </c>
      <c r="AF144" s="6" t="e">
        <f>IF(SUM(AE145:$AE$245)-SUM(AJ145:$AK$245,AN145:$AN$245)&gt;$E$42,0,IF(SUM($AF$125:AF143)=0,$E$42-(SUM(AE145:$AE$245)-SUM(AJ145:$AK$245,AN145:$AN$245)),AE144-SUM(AJ144:AK144,AN144)))</f>
        <v>#DIV/0!</v>
      </c>
      <c r="AG144" s="89" t="e">
        <f t="shared" si="21"/>
        <v>#DIV/0!</v>
      </c>
      <c r="AH144" s="6" t="e">
        <f t="shared" si="43"/>
        <v>#DIV/0!</v>
      </c>
      <c r="AI144" s="6" t="e">
        <f t="shared" si="22"/>
        <v>#DIV/0!</v>
      </c>
      <c r="AJ144" s="6">
        <f t="shared" si="23"/>
        <v>0</v>
      </c>
      <c r="AK144" s="90">
        <f t="shared" si="24"/>
        <v>0</v>
      </c>
      <c r="AL144" s="6" t="e">
        <f t="shared" si="25"/>
        <v>#DIV/0!</v>
      </c>
      <c r="AM144" s="6" t="e">
        <f t="shared" si="44"/>
        <v>#NUM!</v>
      </c>
      <c r="AN144" s="6">
        <f t="shared" si="26"/>
        <v>0</v>
      </c>
      <c r="AO144" s="6" t="e">
        <f t="shared" si="27"/>
        <v>#DIV/0!</v>
      </c>
      <c r="AP144" s="15">
        <f>IFERROR(XIRR($AO$125:AO144,$D$125:D144),-100%)</f>
        <v>-1</v>
      </c>
      <c r="AQ144" s="129" t="e">
        <f t="shared" si="28"/>
        <v>#NUM!</v>
      </c>
      <c r="AR144" s="300">
        <v>0</v>
      </c>
      <c r="AS144" s="130" t="e">
        <f t="shared" si="29"/>
        <v>#DIV/0!</v>
      </c>
      <c r="AT144" s="10">
        <f>IFERROR(XIRR($AS$125:$AS144,$D$125:$D144),-100%)</f>
        <v>-1</v>
      </c>
      <c r="AU144" s="300">
        <v>0</v>
      </c>
      <c r="AV144" s="130" t="e">
        <f t="shared" si="30"/>
        <v>#DIV/0!</v>
      </c>
      <c r="AW144" s="131">
        <f>IFERROR(XIRR($AV$125:$AV144,$D$125:$D144),-100%)</f>
        <v>-1</v>
      </c>
      <c r="AX144" s="213">
        <f t="shared" si="45"/>
        <v>0</v>
      </c>
      <c r="AY144" s="200" t="e">
        <f t="shared" si="31"/>
        <v>#DIV/0!</v>
      </c>
      <c r="AZ144" s="159">
        <f t="shared" si="32"/>
        <v>0</v>
      </c>
      <c r="BA144" s="148" t="e">
        <f t="shared" si="46"/>
        <v>#NUM!</v>
      </c>
      <c r="BB144" s="6" t="e">
        <f t="shared" si="33"/>
        <v>#NUM!</v>
      </c>
      <c r="BC144" s="6" t="e">
        <f t="shared" si="34"/>
        <v>#NUM!</v>
      </c>
      <c r="BD144" s="149" t="e">
        <f t="shared" si="35"/>
        <v>#NUM!</v>
      </c>
      <c r="BE144" s="148" t="e">
        <f t="shared" si="47"/>
        <v>#NUM!</v>
      </c>
      <c r="BF144" s="6" t="e">
        <f t="shared" si="36"/>
        <v>#NUM!</v>
      </c>
      <c r="BG144" s="6" t="e">
        <f t="shared" si="37"/>
        <v>#DIV/0!</v>
      </c>
      <c r="BH144" s="6" t="e">
        <f t="shared" si="48"/>
        <v>#NUM!</v>
      </c>
      <c r="BI144" s="138" t="e">
        <f t="shared" si="38"/>
        <v>#DIV/0!</v>
      </c>
    </row>
    <row r="145" spans="1:61" x14ac:dyDescent="0.25">
      <c r="A145"/>
      <c r="B145" s="9">
        <f t="shared" si="50"/>
        <v>2</v>
      </c>
      <c r="C145" s="13">
        <v>20</v>
      </c>
      <c r="D145" s="12">
        <f t="shared" si="39"/>
        <v>639</v>
      </c>
      <c r="E145" s="6">
        <f>INDEX(GC!$G$25:$G$144,MATCH($D145,GC!$C$25:$C$144,0))</f>
        <v>0</v>
      </c>
      <c r="F145" s="6">
        <f>INDEX(GC!$I$25:$I$144,MATCH($D145,GC!$C$25:$C$144,0))</f>
        <v>0</v>
      </c>
      <c r="G145" s="6">
        <f t="shared" si="40"/>
        <v>0</v>
      </c>
      <c r="H145" s="6">
        <f t="shared" si="2"/>
        <v>0</v>
      </c>
      <c r="I145" s="6">
        <f t="shared" si="51"/>
        <v>0</v>
      </c>
      <c r="J145" s="6">
        <f>IF(SUM($I$126:I145)&gt;$E$61, SUM($I$126:I145)-SUM($J$125:J144)-$E$61,0)</f>
        <v>0</v>
      </c>
      <c r="K145" s="6" t="e">
        <f t="shared" si="3"/>
        <v>#DIV/0!</v>
      </c>
      <c r="L145" s="6" t="e">
        <f t="shared" si="4"/>
        <v>#DIV/0!</v>
      </c>
      <c r="M145" s="6" t="e">
        <f t="shared" si="5"/>
        <v>#DIV/0!</v>
      </c>
      <c r="N145" s="6">
        <f t="shared" si="6"/>
        <v>0</v>
      </c>
      <c r="O145" s="6">
        <f t="shared" si="7"/>
        <v>0</v>
      </c>
      <c r="P145" s="6">
        <f t="shared" si="8"/>
        <v>0</v>
      </c>
      <c r="Q145" s="6">
        <f t="shared" si="9"/>
        <v>0</v>
      </c>
      <c r="R145" s="6" t="e">
        <f t="shared" si="41"/>
        <v>#DIV/0!</v>
      </c>
      <c r="S145" s="6" t="e">
        <f t="shared" si="10"/>
        <v>#DIV/0!</v>
      </c>
      <c r="T145" s="11" t="e">
        <f>SUM($R$126:R145)/($E$87)</f>
        <v>#DIV/0!</v>
      </c>
      <c r="U145" s="89" t="e">
        <f t="shared" si="11"/>
        <v>#DIV/0!</v>
      </c>
      <c r="V145" s="6" t="e">
        <f t="shared" si="12"/>
        <v>#DIV/0!</v>
      </c>
      <c r="W145" s="6" t="e">
        <f t="shared" si="42"/>
        <v>#DIV/0!</v>
      </c>
      <c r="X145" s="6" t="e">
        <f t="shared" si="13"/>
        <v>#DIV/0!</v>
      </c>
      <c r="Y145" s="6" t="e">
        <f t="shared" si="14"/>
        <v>#DIV/0!</v>
      </c>
      <c r="Z145" s="90" t="e">
        <f t="shared" si="15"/>
        <v>#DIV/0!</v>
      </c>
      <c r="AA145" s="89" t="e">
        <f t="shared" si="16"/>
        <v>#DIV/0!</v>
      </c>
      <c r="AB145" s="6" t="e">
        <f t="shared" si="17"/>
        <v>#DIV/0!</v>
      </c>
      <c r="AC145" s="6" t="e">
        <f t="shared" si="18"/>
        <v>#NUM!</v>
      </c>
      <c r="AD145" s="90" t="e">
        <f t="shared" si="19"/>
        <v>#NUM!</v>
      </c>
      <c r="AE145" s="6" t="e">
        <f t="shared" si="20"/>
        <v>#DIV/0!</v>
      </c>
      <c r="AF145" s="6" t="e">
        <f>IF(SUM(AE146:$AE$245)-SUM(AJ146:$AK$245,AN146:$AN$245)&gt;$E$42,0,IF(SUM($AF$125:AF144)=0,$E$42-(SUM(AE146:$AE$245)-SUM(AJ146:$AK$245,AN146:$AN$245)),AE145-SUM(AJ145:AK145,AN145)))</f>
        <v>#DIV/0!</v>
      </c>
      <c r="AG145" s="89" t="e">
        <f t="shared" si="21"/>
        <v>#DIV/0!</v>
      </c>
      <c r="AH145" s="6" t="e">
        <f t="shared" si="43"/>
        <v>#DIV/0!</v>
      </c>
      <c r="AI145" s="6" t="e">
        <f t="shared" si="22"/>
        <v>#DIV/0!</v>
      </c>
      <c r="AJ145" s="6">
        <f t="shared" si="23"/>
        <v>0</v>
      </c>
      <c r="AK145" s="90">
        <f t="shared" si="24"/>
        <v>0</v>
      </c>
      <c r="AL145" s="6" t="e">
        <f t="shared" si="25"/>
        <v>#DIV/0!</v>
      </c>
      <c r="AM145" s="6" t="e">
        <f t="shared" si="44"/>
        <v>#NUM!</v>
      </c>
      <c r="AN145" s="6">
        <f t="shared" si="26"/>
        <v>0</v>
      </c>
      <c r="AO145" s="6" t="e">
        <f t="shared" si="27"/>
        <v>#DIV/0!</v>
      </c>
      <c r="AP145" s="15">
        <f>IFERROR(XIRR($AO$125:AO145,$D$125:D145),-100%)</f>
        <v>-1</v>
      </c>
      <c r="AQ145" s="129" t="e">
        <f t="shared" si="28"/>
        <v>#NUM!</v>
      </c>
      <c r="AR145" s="300">
        <v>0</v>
      </c>
      <c r="AS145" s="130" t="e">
        <f t="shared" si="29"/>
        <v>#DIV/0!</v>
      </c>
      <c r="AT145" s="10">
        <f>IFERROR(XIRR($AS$125:$AS145,$D$125:$D145),-100%)</f>
        <v>-1</v>
      </c>
      <c r="AU145" s="300">
        <v>0</v>
      </c>
      <c r="AV145" s="130" t="e">
        <f t="shared" si="30"/>
        <v>#DIV/0!</v>
      </c>
      <c r="AW145" s="131">
        <f>IFERROR(XIRR($AV$125:$AV145,$D$125:$D145),-100%)</f>
        <v>-1</v>
      </c>
      <c r="AX145" s="213">
        <f t="shared" si="45"/>
        <v>0</v>
      </c>
      <c r="AY145" s="200" t="e">
        <f t="shared" si="31"/>
        <v>#DIV/0!</v>
      </c>
      <c r="AZ145" s="159">
        <f t="shared" si="32"/>
        <v>0</v>
      </c>
      <c r="BA145" s="148" t="e">
        <f t="shared" si="46"/>
        <v>#NUM!</v>
      </c>
      <c r="BB145" s="6" t="e">
        <f t="shared" si="33"/>
        <v>#NUM!</v>
      </c>
      <c r="BC145" s="6" t="e">
        <f t="shared" si="34"/>
        <v>#NUM!</v>
      </c>
      <c r="BD145" s="149" t="e">
        <f t="shared" si="35"/>
        <v>#NUM!</v>
      </c>
      <c r="BE145" s="148" t="e">
        <f t="shared" si="47"/>
        <v>#NUM!</v>
      </c>
      <c r="BF145" s="6" t="e">
        <f t="shared" si="36"/>
        <v>#NUM!</v>
      </c>
      <c r="BG145" s="6" t="e">
        <f t="shared" si="37"/>
        <v>#DIV/0!</v>
      </c>
      <c r="BH145" s="6" t="e">
        <f t="shared" si="48"/>
        <v>#NUM!</v>
      </c>
      <c r="BI145" s="138" t="e">
        <f t="shared" si="38"/>
        <v>#DIV/0!</v>
      </c>
    </row>
    <row r="146" spans="1:61" x14ac:dyDescent="0.25">
      <c r="A146"/>
      <c r="B146" s="9">
        <f t="shared" si="50"/>
        <v>2</v>
      </c>
      <c r="C146" s="13">
        <v>21</v>
      </c>
      <c r="D146" s="12">
        <f t="shared" si="39"/>
        <v>670</v>
      </c>
      <c r="E146" s="6">
        <f>INDEX(GC!$G$25:$G$144,MATCH($D146,GC!$C$25:$C$144,0))</f>
        <v>0</v>
      </c>
      <c r="F146" s="6">
        <f>INDEX(GC!$I$25:$I$144,MATCH($D146,GC!$C$25:$C$144,0))</f>
        <v>0</v>
      </c>
      <c r="G146" s="6">
        <f t="shared" si="40"/>
        <v>0</v>
      </c>
      <c r="H146" s="6">
        <f t="shared" si="2"/>
        <v>0</v>
      </c>
      <c r="I146" s="6">
        <f t="shared" si="51"/>
        <v>0</v>
      </c>
      <c r="J146" s="6">
        <f>IF(SUM($I$126:I146)&gt;$E$61, SUM($I$126:I146)-SUM($J$125:J145)-$E$61,0)</f>
        <v>0</v>
      </c>
      <c r="K146" s="6" t="e">
        <f t="shared" si="3"/>
        <v>#DIV/0!</v>
      </c>
      <c r="L146" s="6" t="e">
        <f t="shared" si="4"/>
        <v>#DIV/0!</v>
      </c>
      <c r="M146" s="6" t="e">
        <f t="shared" si="5"/>
        <v>#DIV/0!</v>
      </c>
      <c r="N146" s="6">
        <f t="shared" si="6"/>
        <v>0</v>
      </c>
      <c r="O146" s="6">
        <f t="shared" si="7"/>
        <v>0</v>
      </c>
      <c r="P146" s="6">
        <f t="shared" si="8"/>
        <v>0</v>
      </c>
      <c r="Q146" s="6">
        <f t="shared" si="9"/>
        <v>0</v>
      </c>
      <c r="R146" s="6" t="e">
        <f t="shared" si="41"/>
        <v>#DIV/0!</v>
      </c>
      <c r="S146" s="6" t="e">
        <f t="shared" si="10"/>
        <v>#DIV/0!</v>
      </c>
      <c r="T146" s="11" t="e">
        <f>SUM($R$126:R146)/($E$87)</f>
        <v>#DIV/0!</v>
      </c>
      <c r="U146" s="89" t="e">
        <f t="shared" si="11"/>
        <v>#DIV/0!</v>
      </c>
      <c r="V146" s="6" t="e">
        <f t="shared" si="12"/>
        <v>#DIV/0!</v>
      </c>
      <c r="W146" s="6" t="e">
        <f t="shared" si="42"/>
        <v>#DIV/0!</v>
      </c>
      <c r="X146" s="6" t="e">
        <f t="shared" si="13"/>
        <v>#DIV/0!</v>
      </c>
      <c r="Y146" s="6" t="e">
        <f t="shared" si="14"/>
        <v>#DIV/0!</v>
      </c>
      <c r="Z146" s="90" t="e">
        <f t="shared" si="15"/>
        <v>#DIV/0!</v>
      </c>
      <c r="AA146" s="89" t="e">
        <f t="shared" si="16"/>
        <v>#DIV/0!</v>
      </c>
      <c r="AB146" s="6" t="e">
        <f t="shared" si="17"/>
        <v>#DIV/0!</v>
      </c>
      <c r="AC146" s="6" t="e">
        <f t="shared" si="18"/>
        <v>#NUM!</v>
      </c>
      <c r="AD146" s="90" t="e">
        <f t="shared" si="19"/>
        <v>#NUM!</v>
      </c>
      <c r="AE146" s="6" t="e">
        <f t="shared" si="20"/>
        <v>#DIV/0!</v>
      </c>
      <c r="AF146" s="6" t="e">
        <f>IF(SUM(AE147:$AE$245)-SUM(AJ147:$AK$245,AN147:$AN$245)&gt;$E$42,0,IF(SUM($AF$125:AF145)=0,$E$42-(SUM(AE147:$AE$245)-SUM(AJ147:$AK$245,AN147:$AN$245)),AE146-SUM(AJ146:AK146,AN146)))</f>
        <v>#DIV/0!</v>
      </c>
      <c r="AG146" s="89" t="e">
        <f t="shared" si="21"/>
        <v>#DIV/0!</v>
      </c>
      <c r="AH146" s="6" t="e">
        <f t="shared" si="43"/>
        <v>#DIV/0!</v>
      </c>
      <c r="AI146" s="6" t="e">
        <f t="shared" si="22"/>
        <v>#DIV/0!</v>
      </c>
      <c r="AJ146" s="6">
        <f t="shared" si="23"/>
        <v>0</v>
      </c>
      <c r="AK146" s="90">
        <f t="shared" si="24"/>
        <v>0</v>
      </c>
      <c r="AL146" s="6" t="e">
        <f t="shared" si="25"/>
        <v>#DIV/0!</v>
      </c>
      <c r="AM146" s="6" t="e">
        <f t="shared" si="44"/>
        <v>#NUM!</v>
      </c>
      <c r="AN146" s="6">
        <f t="shared" si="26"/>
        <v>0</v>
      </c>
      <c r="AO146" s="6" t="e">
        <f t="shared" si="27"/>
        <v>#DIV/0!</v>
      </c>
      <c r="AP146" s="15">
        <f>IFERROR(XIRR($AO$125:AO146,$D$125:D146),-100%)</f>
        <v>-1</v>
      </c>
      <c r="AQ146" s="129" t="e">
        <f t="shared" si="28"/>
        <v>#NUM!</v>
      </c>
      <c r="AR146" s="300">
        <v>0</v>
      </c>
      <c r="AS146" s="130" t="e">
        <f t="shared" si="29"/>
        <v>#DIV/0!</v>
      </c>
      <c r="AT146" s="10">
        <f>IFERROR(XIRR($AS$125:$AS146,$D$125:$D146),-100%)</f>
        <v>-1</v>
      </c>
      <c r="AU146" s="300">
        <v>0</v>
      </c>
      <c r="AV146" s="130" t="e">
        <f t="shared" si="30"/>
        <v>#DIV/0!</v>
      </c>
      <c r="AW146" s="131">
        <f>IFERROR(XIRR($AV$125:$AV146,$D$125:$D146),-100%)</f>
        <v>-1</v>
      </c>
      <c r="AX146" s="213">
        <f t="shared" si="45"/>
        <v>0</v>
      </c>
      <c r="AY146" s="200" t="e">
        <f t="shared" si="31"/>
        <v>#DIV/0!</v>
      </c>
      <c r="AZ146" s="159">
        <f t="shared" si="32"/>
        <v>0</v>
      </c>
      <c r="BA146" s="148" t="e">
        <f t="shared" si="46"/>
        <v>#NUM!</v>
      </c>
      <c r="BB146" s="6" t="e">
        <f t="shared" si="33"/>
        <v>#NUM!</v>
      </c>
      <c r="BC146" s="6" t="e">
        <f t="shared" si="34"/>
        <v>#NUM!</v>
      </c>
      <c r="BD146" s="149" t="e">
        <f t="shared" si="35"/>
        <v>#NUM!</v>
      </c>
      <c r="BE146" s="148" t="e">
        <f t="shared" si="47"/>
        <v>#NUM!</v>
      </c>
      <c r="BF146" s="6" t="e">
        <f t="shared" si="36"/>
        <v>#NUM!</v>
      </c>
      <c r="BG146" s="6" t="e">
        <f t="shared" si="37"/>
        <v>#DIV/0!</v>
      </c>
      <c r="BH146" s="6" t="e">
        <f t="shared" si="48"/>
        <v>#NUM!</v>
      </c>
      <c r="BI146" s="138" t="e">
        <f t="shared" si="38"/>
        <v>#DIV/0!</v>
      </c>
    </row>
    <row r="147" spans="1:61" x14ac:dyDescent="0.25">
      <c r="A147"/>
      <c r="B147" s="9">
        <f t="shared" si="50"/>
        <v>2</v>
      </c>
      <c r="C147" s="13">
        <v>22</v>
      </c>
      <c r="D147" s="12">
        <f t="shared" si="39"/>
        <v>700</v>
      </c>
      <c r="E147" s="6">
        <f>INDEX(GC!$G$25:$G$144,MATCH($D147,GC!$C$25:$C$144,0))</f>
        <v>0</v>
      </c>
      <c r="F147" s="6">
        <f>INDEX(GC!$I$25:$I$144,MATCH($D147,GC!$C$25:$C$144,0))</f>
        <v>0</v>
      </c>
      <c r="G147" s="6">
        <f t="shared" si="40"/>
        <v>0</v>
      </c>
      <c r="H147" s="6">
        <f t="shared" si="2"/>
        <v>0</v>
      </c>
      <c r="I147" s="6">
        <f t="shared" si="51"/>
        <v>0</v>
      </c>
      <c r="J147" s="6">
        <f>IF(SUM($I$126:I147)&gt;$E$61, SUM($I$126:I147)-SUM($J$125:J146)-$E$61,0)</f>
        <v>0</v>
      </c>
      <c r="K147" s="6" t="e">
        <f t="shared" si="3"/>
        <v>#DIV/0!</v>
      </c>
      <c r="L147" s="6" t="e">
        <f t="shared" si="4"/>
        <v>#DIV/0!</v>
      </c>
      <c r="M147" s="6" t="e">
        <f t="shared" si="5"/>
        <v>#DIV/0!</v>
      </c>
      <c r="N147" s="6">
        <f t="shared" si="6"/>
        <v>0</v>
      </c>
      <c r="O147" s="6">
        <f t="shared" si="7"/>
        <v>0</v>
      </c>
      <c r="P147" s="6">
        <f t="shared" si="8"/>
        <v>0</v>
      </c>
      <c r="Q147" s="6">
        <f t="shared" si="9"/>
        <v>0</v>
      </c>
      <c r="R147" s="6" t="e">
        <f t="shared" si="41"/>
        <v>#DIV/0!</v>
      </c>
      <c r="S147" s="6" t="e">
        <f t="shared" si="10"/>
        <v>#DIV/0!</v>
      </c>
      <c r="T147" s="11" t="e">
        <f>SUM($R$126:R147)/($E$87)</f>
        <v>#DIV/0!</v>
      </c>
      <c r="U147" s="89" t="e">
        <f t="shared" si="11"/>
        <v>#DIV/0!</v>
      </c>
      <c r="V147" s="6" t="e">
        <f t="shared" si="12"/>
        <v>#DIV/0!</v>
      </c>
      <c r="W147" s="6" t="e">
        <f t="shared" si="42"/>
        <v>#DIV/0!</v>
      </c>
      <c r="X147" s="6" t="e">
        <f t="shared" si="13"/>
        <v>#DIV/0!</v>
      </c>
      <c r="Y147" s="6" t="e">
        <f t="shared" si="14"/>
        <v>#DIV/0!</v>
      </c>
      <c r="Z147" s="90" t="e">
        <f t="shared" si="15"/>
        <v>#DIV/0!</v>
      </c>
      <c r="AA147" s="89" t="e">
        <f t="shared" si="16"/>
        <v>#DIV/0!</v>
      </c>
      <c r="AB147" s="6" t="e">
        <f t="shared" si="17"/>
        <v>#DIV/0!</v>
      </c>
      <c r="AC147" s="6" t="e">
        <f t="shared" si="18"/>
        <v>#NUM!</v>
      </c>
      <c r="AD147" s="90" t="e">
        <f t="shared" si="19"/>
        <v>#NUM!</v>
      </c>
      <c r="AE147" s="6" t="e">
        <f t="shared" si="20"/>
        <v>#DIV/0!</v>
      </c>
      <c r="AF147" s="6" t="e">
        <f>IF(SUM(AE148:$AE$245)-SUM(AJ148:$AK$245,AN148:$AN$245)&gt;$E$42,0,IF(SUM($AF$125:AF146)=0,$E$42-(SUM(AE148:$AE$245)-SUM(AJ148:$AK$245,AN148:$AN$245)),AE147-SUM(AJ147:AK147,AN147)))</f>
        <v>#DIV/0!</v>
      </c>
      <c r="AG147" s="89" t="e">
        <f t="shared" si="21"/>
        <v>#DIV/0!</v>
      </c>
      <c r="AH147" s="6" t="e">
        <f t="shared" si="43"/>
        <v>#DIV/0!</v>
      </c>
      <c r="AI147" s="6" t="e">
        <f t="shared" si="22"/>
        <v>#DIV/0!</v>
      </c>
      <c r="AJ147" s="6">
        <f t="shared" si="23"/>
        <v>0</v>
      </c>
      <c r="AK147" s="90">
        <f t="shared" si="24"/>
        <v>0</v>
      </c>
      <c r="AL147" s="6" t="e">
        <f t="shared" si="25"/>
        <v>#DIV/0!</v>
      </c>
      <c r="AM147" s="6" t="e">
        <f t="shared" si="44"/>
        <v>#NUM!</v>
      </c>
      <c r="AN147" s="6">
        <f t="shared" si="26"/>
        <v>0</v>
      </c>
      <c r="AO147" s="6" t="e">
        <f t="shared" si="27"/>
        <v>#DIV/0!</v>
      </c>
      <c r="AP147" s="15">
        <f>IFERROR(XIRR($AO$125:AO147,$D$125:D147),-100%)</f>
        <v>-1</v>
      </c>
      <c r="AQ147" s="129" t="e">
        <f t="shared" si="28"/>
        <v>#NUM!</v>
      </c>
      <c r="AR147" s="300">
        <v>0</v>
      </c>
      <c r="AS147" s="130" t="e">
        <f t="shared" si="29"/>
        <v>#DIV/0!</v>
      </c>
      <c r="AT147" s="10">
        <f>IFERROR(XIRR($AS$125:$AS147,$D$125:$D147),-100%)</f>
        <v>-1</v>
      </c>
      <c r="AU147" s="300">
        <v>0</v>
      </c>
      <c r="AV147" s="130" t="e">
        <f t="shared" si="30"/>
        <v>#DIV/0!</v>
      </c>
      <c r="AW147" s="131">
        <f>IFERROR(XIRR($AV$125:$AV147,$D$125:$D147),-100%)</f>
        <v>-1</v>
      </c>
      <c r="AX147" s="213">
        <f t="shared" si="45"/>
        <v>0</v>
      </c>
      <c r="AY147" s="200" t="e">
        <f t="shared" si="31"/>
        <v>#DIV/0!</v>
      </c>
      <c r="AZ147" s="159">
        <f t="shared" si="32"/>
        <v>0</v>
      </c>
      <c r="BA147" s="148" t="e">
        <f t="shared" si="46"/>
        <v>#NUM!</v>
      </c>
      <c r="BB147" s="6" t="e">
        <f t="shared" si="33"/>
        <v>#NUM!</v>
      </c>
      <c r="BC147" s="6" t="e">
        <f t="shared" si="34"/>
        <v>#NUM!</v>
      </c>
      <c r="BD147" s="149" t="e">
        <f t="shared" si="35"/>
        <v>#NUM!</v>
      </c>
      <c r="BE147" s="148" t="e">
        <f t="shared" si="47"/>
        <v>#NUM!</v>
      </c>
      <c r="BF147" s="6" t="e">
        <f t="shared" si="36"/>
        <v>#NUM!</v>
      </c>
      <c r="BG147" s="6" t="e">
        <f t="shared" si="37"/>
        <v>#DIV/0!</v>
      </c>
      <c r="BH147" s="6" t="e">
        <f t="shared" si="48"/>
        <v>#NUM!</v>
      </c>
      <c r="BI147" s="138" t="e">
        <f t="shared" si="38"/>
        <v>#DIV/0!</v>
      </c>
    </row>
    <row r="148" spans="1:61" x14ac:dyDescent="0.25">
      <c r="A148"/>
      <c r="B148" s="9">
        <f t="shared" si="50"/>
        <v>2</v>
      </c>
      <c r="C148" s="13">
        <v>23</v>
      </c>
      <c r="D148" s="12">
        <f t="shared" si="39"/>
        <v>731</v>
      </c>
      <c r="E148" s="6">
        <f>INDEX(GC!$G$25:$G$144,MATCH($D148,GC!$C$25:$C$144,0))</f>
        <v>0</v>
      </c>
      <c r="F148" s="6">
        <f>INDEX(GC!$I$25:$I$144,MATCH($D148,GC!$C$25:$C$144,0))</f>
        <v>0</v>
      </c>
      <c r="G148" s="6">
        <f t="shared" si="40"/>
        <v>0</v>
      </c>
      <c r="H148" s="6">
        <f t="shared" si="2"/>
        <v>0</v>
      </c>
      <c r="I148" s="6">
        <f t="shared" si="51"/>
        <v>0</v>
      </c>
      <c r="J148" s="6">
        <f>IF(SUM($I$126:I148)&gt;$E$61, SUM($I$126:I148)-SUM($J$125:J147)-$E$61,0)</f>
        <v>0</v>
      </c>
      <c r="K148" s="6" t="e">
        <f t="shared" si="3"/>
        <v>#DIV/0!</v>
      </c>
      <c r="L148" s="6" t="e">
        <f t="shared" si="4"/>
        <v>#DIV/0!</v>
      </c>
      <c r="M148" s="6" t="e">
        <f t="shared" si="5"/>
        <v>#DIV/0!</v>
      </c>
      <c r="N148" s="6">
        <f t="shared" si="6"/>
        <v>0</v>
      </c>
      <c r="O148" s="6">
        <f t="shared" si="7"/>
        <v>0</v>
      </c>
      <c r="P148" s="6">
        <f t="shared" si="8"/>
        <v>0</v>
      </c>
      <c r="Q148" s="6">
        <f t="shared" si="9"/>
        <v>0</v>
      </c>
      <c r="R148" s="6" t="e">
        <f t="shared" si="41"/>
        <v>#DIV/0!</v>
      </c>
      <c r="S148" s="6" t="e">
        <f t="shared" si="10"/>
        <v>#DIV/0!</v>
      </c>
      <c r="T148" s="11" t="e">
        <f>SUM($R$126:R148)/($E$87)</f>
        <v>#DIV/0!</v>
      </c>
      <c r="U148" s="89" t="e">
        <f t="shared" si="11"/>
        <v>#DIV/0!</v>
      </c>
      <c r="V148" s="6" t="e">
        <f t="shared" si="12"/>
        <v>#DIV/0!</v>
      </c>
      <c r="W148" s="6" t="e">
        <f t="shared" si="42"/>
        <v>#DIV/0!</v>
      </c>
      <c r="X148" s="6" t="e">
        <f t="shared" si="13"/>
        <v>#DIV/0!</v>
      </c>
      <c r="Y148" s="6" t="e">
        <f t="shared" si="14"/>
        <v>#DIV/0!</v>
      </c>
      <c r="Z148" s="90" t="e">
        <f t="shared" si="15"/>
        <v>#DIV/0!</v>
      </c>
      <c r="AA148" s="89" t="e">
        <f t="shared" si="16"/>
        <v>#DIV/0!</v>
      </c>
      <c r="AB148" s="6" t="e">
        <f t="shared" si="17"/>
        <v>#DIV/0!</v>
      </c>
      <c r="AC148" s="6" t="e">
        <f t="shared" si="18"/>
        <v>#NUM!</v>
      </c>
      <c r="AD148" s="90" t="e">
        <f t="shared" si="19"/>
        <v>#NUM!</v>
      </c>
      <c r="AE148" s="6" t="e">
        <f t="shared" si="20"/>
        <v>#DIV/0!</v>
      </c>
      <c r="AF148" s="6" t="e">
        <f>IF(SUM(AE149:$AE$245)-SUM(AJ149:$AK$245,AN149:$AN$245)&gt;$E$42,0,IF(SUM($AF$125:AF147)=0,$E$42-(SUM(AE149:$AE$245)-SUM(AJ149:$AK$245,AN149:$AN$245)),AE148-SUM(AJ148:AK148,AN148)))</f>
        <v>#DIV/0!</v>
      </c>
      <c r="AG148" s="89" t="e">
        <f t="shared" si="21"/>
        <v>#DIV/0!</v>
      </c>
      <c r="AH148" s="6" t="e">
        <f t="shared" si="43"/>
        <v>#DIV/0!</v>
      </c>
      <c r="AI148" s="6" t="e">
        <f t="shared" si="22"/>
        <v>#DIV/0!</v>
      </c>
      <c r="AJ148" s="6">
        <f t="shared" si="23"/>
        <v>0</v>
      </c>
      <c r="AK148" s="90">
        <f t="shared" si="24"/>
        <v>0</v>
      </c>
      <c r="AL148" s="6" t="e">
        <f t="shared" si="25"/>
        <v>#DIV/0!</v>
      </c>
      <c r="AM148" s="6" t="e">
        <f t="shared" si="44"/>
        <v>#NUM!</v>
      </c>
      <c r="AN148" s="6">
        <f t="shared" si="26"/>
        <v>0</v>
      </c>
      <c r="AO148" s="6" t="e">
        <f t="shared" si="27"/>
        <v>#DIV/0!</v>
      </c>
      <c r="AP148" s="15">
        <f>IFERROR(XIRR($AO$125:AO148,$D$125:D148),-100%)</f>
        <v>-1</v>
      </c>
      <c r="AQ148" s="129" t="e">
        <f t="shared" si="28"/>
        <v>#NUM!</v>
      </c>
      <c r="AR148" s="300">
        <v>0</v>
      </c>
      <c r="AS148" s="130" t="e">
        <f t="shared" si="29"/>
        <v>#DIV/0!</v>
      </c>
      <c r="AT148" s="10">
        <f>IFERROR(XIRR($AS$125:$AS148,$D$125:$D148),-100%)</f>
        <v>-1</v>
      </c>
      <c r="AU148" s="300">
        <v>0</v>
      </c>
      <c r="AV148" s="130" t="e">
        <f t="shared" si="30"/>
        <v>#DIV/0!</v>
      </c>
      <c r="AW148" s="131">
        <f>IFERROR(XIRR($AV$125:$AV148,$D$125:$D148),-100%)</f>
        <v>-1</v>
      </c>
      <c r="AX148" s="213">
        <f t="shared" si="45"/>
        <v>0</v>
      </c>
      <c r="AY148" s="200" t="e">
        <f t="shared" si="31"/>
        <v>#DIV/0!</v>
      </c>
      <c r="AZ148" s="159">
        <f t="shared" si="32"/>
        <v>0</v>
      </c>
      <c r="BA148" s="148" t="e">
        <f t="shared" si="46"/>
        <v>#NUM!</v>
      </c>
      <c r="BB148" s="6" t="e">
        <f t="shared" si="33"/>
        <v>#NUM!</v>
      </c>
      <c r="BC148" s="6" t="e">
        <f t="shared" si="34"/>
        <v>#NUM!</v>
      </c>
      <c r="BD148" s="149" t="e">
        <f t="shared" si="35"/>
        <v>#NUM!</v>
      </c>
      <c r="BE148" s="148" t="e">
        <f t="shared" si="47"/>
        <v>#NUM!</v>
      </c>
      <c r="BF148" s="6" t="e">
        <f t="shared" si="36"/>
        <v>#NUM!</v>
      </c>
      <c r="BG148" s="6" t="e">
        <f t="shared" si="37"/>
        <v>#DIV/0!</v>
      </c>
      <c r="BH148" s="6" t="e">
        <f t="shared" si="48"/>
        <v>#NUM!</v>
      </c>
      <c r="BI148" s="138" t="e">
        <f t="shared" si="38"/>
        <v>#DIV/0!</v>
      </c>
    </row>
    <row r="149" spans="1:61" x14ac:dyDescent="0.25">
      <c r="A149"/>
      <c r="B149" s="9">
        <f t="shared" si="50"/>
        <v>2</v>
      </c>
      <c r="C149" s="13">
        <v>24</v>
      </c>
      <c r="D149" s="12">
        <f t="shared" si="39"/>
        <v>762</v>
      </c>
      <c r="E149" s="6">
        <f>INDEX(GC!$G$25:$G$144,MATCH($D149,GC!$C$25:$C$144,0))</f>
        <v>0</v>
      </c>
      <c r="F149" s="6">
        <f>INDEX(GC!$I$25:$I$144,MATCH($D149,GC!$C$25:$C$144,0))</f>
        <v>0</v>
      </c>
      <c r="G149" s="6">
        <f t="shared" si="40"/>
        <v>0</v>
      </c>
      <c r="H149" s="6">
        <f t="shared" si="2"/>
        <v>0</v>
      </c>
      <c r="I149" s="6">
        <f t="shared" si="51"/>
        <v>0</v>
      </c>
      <c r="J149" s="6">
        <f>IF(SUM($I$126:I149)&gt;$E$61, SUM($I$126:I149)-SUM($J$125:J148)-$E$61,0)</f>
        <v>0</v>
      </c>
      <c r="K149" s="6" t="e">
        <f t="shared" si="3"/>
        <v>#DIV/0!</v>
      </c>
      <c r="L149" s="6" t="e">
        <f t="shared" si="4"/>
        <v>#DIV/0!</v>
      </c>
      <c r="M149" s="6" t="e">
        <f t="shared" si="5"/>
        <v>#DIV/0!</v>
      </c>
      <c r="N149" s="6">
        <f t="shared" si="6"/>
        <v>0</v>
      </c>
      <c r="O149" s="6">
        <f t="shared" si="7"/>
        <v>0</v>
      </c>
      <c r="P149" s="6">
        <f t="shared" si="8"/>
        <v>0</v>
      </c>
      <c r="Q149" s="6">
        <f t="shared" si="9"/>
        <v>0</v>
      </c>
      <c r="R149" s="6" t="e">
        <f t="shared" si="41"/>
        <v>#DIV/0!</v>
      </c>
      <c r="S149" s="6" t="e">
        <f t="shared" si="10"/>
        <v>#DIV/0!</v>
      </c>
      <c r="T149" s="11" t="e">
        <f>SUM($R$126:R149)/($E$87)</f>
        <v>#DIV/0!</v>
      </c>
      <c r="U149" s="89" t="e">
        <f t="shared" si="11"/>
        <v>#DIV/0!</v>
      </c>
      <c r="V149" s="6" t="e">
        <f t="shared" si="12"/>
        <v>#DIV/0!</v>
      </c>
      <c r="W149" s="6" t="e">
        <f t="shared" si="42"/>
        <v>#DIV/0!</v>
      </c>
      <c r="X149" s="6" t="e">
        <f t="shared" si="13"/>
        <v>#DIV/0!</v>
      </c>
      <c r="Y149" s="6" t="e">
        <f t="shared" si="14"/>
        <v>#DIV/0!</v>
      </c>
      <c r="Z149" s="90" t="e">
        <f t="shared" si="15"/>
        <v>#DIV/0!</v>
      </c>
      <c r="AA149" s="89" t="e">
        <f t="shared" si="16"/>
        <v>#DIV/0!</v>
      </c>
      <c r="AB149" s="6" t="e">
        <f t="shared" si="17"/>
        <v>#DIV/0!</v>
      </c>
      <c r="AC149" s="6" t="e">
        <f t="shared" si="18"/>
        <v>#NUM!</v>
      </c>
      <c r="AD149" s="90" t="e">
        <f t="shared" si="19"/>
        <v>#NUM!</v>
      </c>
      <c r="AE149" s="6" t="e">
        <f t="shared" si="20"/>
        <v>#DIV/0!</v>
      </c>
      <c r="AF149" s="6" t="e">
        <f>IF(SUM(AE150:$AE$245)-SUM(AJ150:$AK$245,AN150:$AN$245)&gt;$E$42,0,IF(SUM($AF$125:AF148)=0,$E$42-(SUM(AE150:$AE$245)-SUM(AJ150:$AK$245,AN150:$AN$245)),AE149-SUM(AJ149:AK149,AN149)))</f>
        <v>#DIV/0!</v>
      </c>
      <c r="AG149" s="89" t="e">
        <f t="shared" si="21"/>
        <v>#DIV/0!</v>
      </c>
      <c r="AH149" s="6" t="e">
        <f t="shared" si="43"/>
        <v>#DIV/0!</v>
      </c>
      <c r="AI149" s="6" t="e">
        <f t="shared" si="22"/>
        <v>#DIV/0!</v>
      </c>
      <c r="AJ149" s="6">
        <f t="shared" si="23"/>
        <v>0</v>
      </c>
      <c r="AK149" s="90">
        <f t="shared" si="24"/>
        <v>0</v>
      </c>
      <c r="AL149" s="6" t="e">
        <f t="shared" si="25"/>
        <v>#DIV/0!</v>
      </c>
      <c r="AM149" s="6" t="e">
        <f t="shared" si="44"/>
        <v>#NUM!</v>
      </c>
      <c r="AN149" s="6">
        <f t="shared" si="26"/>
        <v>0</v>
      </c>
      <c r="AO149" s="6" t="e">
        <f t="shared" si="27"/>
        <v>#DIV/0!</v>
      </c>
      <c r="AP149" s="15">
        <f>IFERROR(XIRR($AO$125:AO149,$D$125:D149),-100%)</f>
        <v>-1</v>
      </c>
      <c r="AQ149" s="129" t="e">
        <f t="shared" si="28"/>
        <v>#NUM!</v>
      </c>
      <c r="AR149" s="300">
        <v>0</v>
      </c>
      <c r="AS149" s="130" t="e">
        <f t="shared" si="29"/>
        <v>#DIV/0!</v>
      </c>
      <c r="AT149" s="10">
        <f>IFERROR(XIRR($AS$125:$AS149,$D$125:$D149),-100%)</f>
        <v>-1</v>
      </c>
      <c r="AU149" s="300">
        <v>0</v>
      </c>
      <c r="AV149" s="130" t="e">
        <f t="shared" si="30"/>
        <v>#DIV/0!</v>
      </c>
      <c r="AW149" s="131">
        <f>IFERROR(XIRR($AV$125:$AV149,$D$125:$D149),-100%)</f>
        <v>-1</v>
      </c>
      <c r="AX149" s="213">
        <f t="shared" si="45"/>
        <v>0</v>
      </c>
      <c r="AY149" s="200" t="e">
        <f t="shared" si="31"/>
        <v>#DIV/0!</v>
      </c>
      <c r="AZ149" s="159">
        <f t="shared" si="32"/>
        <v>0</v>
      </c>
      <c r="BA149" s="148" t="e">
        <f t="shared" si="46"/>
        <v>#NUM!</v>
      </c>
      <c r="BB149" s="6" t="e">
        <f t="shared" si="33"/>
        <v>#NUM!</v>
      </c>
      <c r="BC149" s="6" t="e">
        <f t="shared" si="34"/>
        <v>#NUM!</v>
      </c>
      <c r="BD149" s="149" t="e">
        <f t="shared" si="35"/>
        <v>#NUM!</v>
      </c>
      <c r="BE149" s="148" t="e">
        <f t="shared" si="47"/>
        <v>#NUM!</v>
      </c>
      <c r="BF149" s="6" t="e">
        <f t="shared" si="36"/>
        <v>#NUM!</v>
      </c>
      <c r="BG149" s="6" t="e">
        <f t="shared" si="37"/>
        <v>#DIV/0!</v>
      </c>
      <c r="BH149" s="6" t="e">
        <f t="shared" si="48"/>
        <v>#NUM!</v>
      </c>
      <c r="BI149" s="138" t="e">
        <f t="shared" si="38"/>
        <v>#DIV/0!</v>
      </c>
    </row>
    <row r="150" spans="1:61" x14ac:dyDescent="0.25">
      <c r="A150"/>
      <c r="B150" s="9">
        <f t="shared" si="50"/>
        <v>3</v>
      </c>
      <c r="C150" s="13">
        <v>25</v>
      </c>
      <c r="D150" s="12">
        <f t="shared" si="39"/>
        <v>790</v>
      </c>
      <c r="E150" s="6">
        <f>INDEX(GC!$G$25:$G$144,MATCH($D150,GC!$C$25:$C$144,0))</f>
        <v>0</v>
      </c>
      <c r="F150" s="6">
        <f>INDEX(GC!$I$25:$I$144,MATCH($D150,GC!$C$25:$C$144,0))</f>
        <v>0</v>
      </c>
      <c r="G150" s="6">
        <f t="shared" si="40"/>
        <v>0</v>
      </c>
      <c r="H150" s="6">
        <f t="shared" si="2"/>
        <v>0</v>
      </c>
      <c r="I150" s="6">
        <f t="shared" si="51"/>
        <v>0</v>
      </c>
      <c r="J150" s="6">
        <f>IF(SUM($I$126:I150)&gt;$E$61, SUM($I$126:I150)-SUM($J$125:J149)-$E$61,0)</f>
        <v>0</v>
      </c>
      <c r="K150" s="6" t="e">
        <f t="shared" si="3"/>
        <v>#DIV/0!</v>
      </c>
      <c r="L150" s="6" t="e">
        <f t="shared" si="4"/>
        <v>#DIV/0!</v>
      </c>
      <c r="M150" s="6" t="e">
        <f t="shared" si="5"/>
        <v>#DIV/0!</v>
      </c>
      <c r="N150" s="6">
        <f t="shared" si="6"/>
        <v>0</v>
      </c>
      <c r="O150" s="6">
        <f t="shared" si="7"/>
        <v>0</v>
      </c>
      <c r="P150" s="6">
        <f t="shared" si="8"/>
        <v>0</v>
      </c>
      <c r="Q150" s="6">
        <f t="shared" si="9"/>
        <v>0</v>
      </c>
      <c r="R150" s="6" t="e">
        <f t="shared" si="41"/>
        <v>#DIV/0!</v>
      </c>
      <c r="S150" s="6" t="e">
        <f t="shared" si="10"/>
        <v>#DIV/0!</v>
      </c>
      <c r="T150" s="11" t="e">
        <f>SUM($R$126:R150)/($E$87)</f>
        <v>#DIV/0!</v>
      </c>
      <c r="U150" s="89" t="e">
        <f t="shared" si="11"/>
        <v>#DIV/0!</v>
      </c>
      <c r="V150" s="6" t="e">
        <f t="shared" si="12"/>
        <v>#DIV/0!</v>
      </c>
      <c r="W150" s="6" t="e">
        <f t="shared" si="42"/>
        <v>#DIV/0!</v>
      </c>
      <c r="X150" s="6" t="e">
        <f t="shared" si="13"/>
        <v>#DIV/0!</v>
      </c>
      <c r="Y150" s="6" t="e">
        <f t="shared" si="14"/>
        <v>#DIV/0!</v>
      </c>
      <c r="Z150" s="90" t="e">
        <f t="shared" si="15"/>
        <v>#DIV/0!</v>
      </c>
      <c r="AA150" s="89" t="e">
        <f t="shared" si="16"/>
        <v>#DIV/0!</v>
      </c>
      <c r="AB150" s="6" t="e">
        <f t="shared" si="17"/>
        <v>#DIV/0!</v>
      </c>
      <c r="AC150" s="6" t="e">
        <f t="shared" si="18"/>
        <v>#NUM!</v>
      </c>
      <c r="AD150" s="90" t="e">
        <f t="shared" si="19"/>
        <v>#NUM!</v>
      </c>
      <c r="AE150" s="6" t="e">
        <f t="shared" si="20"/>
        <v>#DIV/0!</v>
      </c>
      <c r="AF150" s="6" t="e">
        <f>IF(SUM(AE151:$AE$245)-SUM(AJ151:$AK$245,AN151:$AN$245)&gt;$E$42,0,IF(SUM($AF$125:AF149)=0,$E$42-(SUM(AE151:$AE$245)-SUM(AJ151:$AK$245,AN151:$AN$245)),AE150-SUM(AJ150:AK150,AN150)))</f>
        <v>#DIV/0!</v>
      </c>
      <c r="AG150" s="89" t="e">
        <f t="shared" si="21"/>
        <v>#DIV/0!</v>
      </c>
      <c r="AH150" s="6" t="e">
        <f t="shared" si="43"/>
        <v>#DIV/0!</v>
      </c>
      <c r="AI150" s="6" t="e">
        <f t="shared" si="22"/>
        <v>#DIV/0!</v>
      </c>
      <c r="AJ150" s="6">
        <f t="shared" si="23"/>
        <v>0</v>
      </c>
      <c r="AK150" s="90">
        <f t="shared" si="24"/>
        <v>0</v>
      </c>
      <c r="AL150" s="6" t="e">
        <f t="shared" si="25"/>
        <v>#DIV/0!</v>
      </c>
      <c r="AM150" s="6" t="e">
        <f t="shared" si="44"/>
        <v>#NUM!</v>
      </c>
      <c r="AN150" s="6">
        <f t="shared" si="26"/>
        <v>0</v>
      </c>
      <c r="AO150" s="6" t="e">
        <f t="shared" si="27"/>
        <v>#DIV/0!</v>
      </c>
      <c r="AP150" s="15">
        <f>IFERROR(XIRR($AO$125:AO150,$D$125:D150),-100%)</f>
        <v>-1</v>
      </c>
      <c r="AQ150" s="129" t="e">
        <f t="shared" si="28"/>
        <v>#NUM!</v>
      </c>
      <c r="AR150" s="300">
        <v>0</v>
      </c>
      <c r="AS150" s="130" t="e">
        <f t="shared" si="29"/>
        <v>#DIV/0!</v>
      </c>
      <c r="AT150" s="10">
        <f>IFERROR(XIRR($AS$125:$AS150,$D$125:$D150),-100%)</f>
        <v>-1</v>
      </c>
      <c r="AU150" s="300">
        <v>0</v>
      </c>
      <c r="AV150" s="130" t="e">
        <f t="shared" si="30"/>
        <v>#DIV/0!</v>
      </c>
      <c r="AW150" s="131">
        <f>IFERROR(XIRR($AV$125:$AV150,$D$125:$D150),-100%)</f>
        <v>-1</v>
      </c>
      <c r="AX150" s="213">
        <f t="shared" si="45"/>
        <v>0</v>
      </c>
      <c r="AY150" s="200" t="e">
        <f t="shared" si="31"/>
        <v>#DIV/0!</v>
      </c>
      <c r="AZ150" s="159">
        <f t="shared" si="32"/>
        <v>0</v>
      </c>
      <c r="BA150" s="148" t="e">
        <f t="shared" si="46"/>
        <v>#NUM!</v>
      </c>
      <c r="BB150" s="6" t="e">
        <f t="shared" si="33"/>
        <v>#NUM!</v>
      </c>
      <c r="BC150" s="6" t="e">
        <f t="shared" si="34"/>
        <v>#NUM!</v>
      </c>
      <c r="BD150" s="149" t="e">
        <f t="shared" si="35"/>
        <v>#NUM!</v>
      </c>
      <c r="BE150" s="148" t="e">
        <f t="shared" si="47"/>
        <v>#NUM!</v>
      </c>
      <c r="BF150" s="6" t="e">
        <f t="shared" si="36"/>
        <v>#NUM!</v>
      </c>
      <c r="BG150" s="6" t="e">
        <f t="shared" si="37"/>
        <v>#DIV/0!</v>
      </c>
      <c r="BH150" s="6" t="e">
        <f t="shared" si="48"/>
        <v>#NUM!</v>
      </c>
      <c r="BI150" s="138" t="e">
        <f t="shared" si="38"/>
        <v>#DIV/0!</v>
      </c>
    </row>
    <row r="151" spans="1:61" x14ac:dyDescent="0.25">
      <c r="A151"/>
      <c r="B151" s="9">
        <f t="shared" si="50"/>
        <v>3</v>
      </c>
      <c r="C151" s="13">
        <v>26</v>
      </c>
      <c r="D151" s="12">
        <f t="shared" si="39"/>
        <v>821</v>
      </c>
      <c r="E151" s="6">
        <f>INDEX(GC!$G$25:$G$144,MATCH($D151,GC!$C$25:$C$144,0))</f>
        <v>0</v>
      </c>
      <c r="F151" s="6">
        <f>INDEX(GC!$I$25:$I$144,MATCH($D151,GC!$C$25:$C$144,0))</f>
        <v>0</v>
      </c>
      <c r="G151" s="6">
        <f t="shared" si="40"/>
        <v>0</v>
      </c>
      <c r="H151" s="6">
        <f t="shared" si="2"/>
        <v>0</v>
      </c>
      <c r="I151" s="6">
        <f t="shared" si="51"/>
        <v>0</v>
      </c>
      <c r="J151" s="6">
        <f>IF(SUM($I$126:I151)&gt;$E$61, SUM($I$126:I151)-SUM($J$125:J150)-$E$61,0)</f>
        <v>0</v>
      </c>
      <c r="K151" s="6" t="e">
        <f t="shared" si="3"/>
        <v>#DIV/0!</v>
      </c>
      <c r="L151" s="6" t="e">
        <f t="shared" si="4"/>
        <v>#DIV/0!</v>
      </c>
      <c r="M151" s="6" t="e">
        <f t="shared" si="5"/>
        <v>#DIV/0!</v>
      </c>
      <c r="N151" s="6">
        <f t="shared" si="6"/>
        <v>0</v>
      </c>
      <c r="O151" s="6">
        <f t="shared" si="7"/>
        <v>0</v>
      </c>
      <c r="P151" s="6">
        <f t="shared" si="8"/>
        <v>0</v>
      </c>
      <c r="Q151" s="6">
        <f t="shared" si="9"/>
        <v>0</v>
      </c>
      <c r="R151" s="6" t="e">
        <f t="shared" si="41"/>
        <v>#DIV/0!</v>
      </c>
      <c r="S151" s="6" t="e">
        <f t="shared" si="10"/>
        <v>#DIV/0!</v>
      </c>
      <c r="T151" s="11" t="e">
        <f>SUM($R$126:R151)/($E$87)</f>
        <v>#DIV/0!</v>
      </c>
      <c r="U151" s="89" t="e">
        <f t="shared" si="11"/>
        <v>#DIV/0!</v>
      </c>
      <c r="V151" s="6" t="e">
        <f t="shared" si="12"/>
        <v>#DIV/0!</v>
      </c>
      <c r="W151" s="6" t="e">
        <f t="shared" si="42"/>
        <v>#DIV/0!</v>
      </c>
      <c r="X151" s="6" t="e">
        <f t="shared" si="13"/>
        <v>#DIV/0!</v>
      </c>
      <c r="Y151" s="6" t="e">
        <f t="shared" si="14"/>
        <v>#DIV/0!</v>
      </c>
      <c r="Z151" s="90" t="e">
        <f t="shared" si="15"/>
        <v>#DIV/0!</v>
      </c>
      <c r="AA151" s="89" t="e">
        <f t="shared" si="16"/>
        <v>#DIV/0!</v>
      </c>
      <c r="AB151" s="6" t="e">
        <f t="shared" si="17"/>
        <v>#DIV/0!</v>
      </c>
      <c r="AC151" s="6" t="e">
        <f t="shared" si="18"/>
        <v>#NUM!</v>
      </c>
      <c r="AD151" s="90" t="e">
        <f t="shared" si="19"/>
        <v>#NUM!</v>
      </c>
      <c r="AE151" s="6" t="e">
        <f t="shared" si="20"/>
        <v>#DIV/0!</v>
      </c>
      <c r="AF151" s="6" t="e">
        <f>IF(SUM(AE152:$AE$245)-SUM(AJ152:$AK$245,AN152:$AN$245)&gt;$E$42,0,IF(SUM($AF$125:AF150)=0,$E$42-(SUM(AE152:$AE$245)-SUM(AJ152:$AK$245,AN152:$AN$245)),AE151-SUM(AJ151:AK151,AN151)))</f>
        <v>#DIV/0!</v>
      </c>
      <c r="AG151" s="89" t="e">
        <f t="shared" si="21"/>
        <v>#DIV/0!</v>
      </c>
      <c r="AH151" s="6" t="e">
        <f t="shared" si="43"/>
        <v>#DIV/0!</v>
      </c>
      <c r="AI151" s="6" t="e">
        <f t="shared" si="22"/>
        <v>#DIV/0!</v>
      </c>
      <c r="AJ151" s="6">
        <f t="shared" si="23"/>
        <v>0</v>
      </c>
      <c r="AK151" s="90">
        <f t="shared" si="24"/>
        <v>0</v>
      </c>
      <c r="AL151" s="6" t="e">
        <f t="shared" si="25"/>
        <v>#DIV/0!</v>
      </c>
      <c r="AM151" s="6" t="e">
        <f t="shared" si="44"/>
        <v>#NUM!</v>
      </c>
      <c r="AN151" s="6">
        <f t="shared" si="26"/>
        <v>0</v>
      </c>
      <c r="AO151" s="6" t="e">
        <f t="shared" si="27"/>
        <v>#DIV/0!</v>
      </c>
      <c r="AP151" s="15">
        <f>IFERROR(XIRR($AO$125:AO151,$D$125:D151),-100%)</f>
        <v>-1</v>
      </c>
      <c r="AQ151" s="129" t="e">
        <f t="shared" si="28"/>
        <v>#NUM!</v>
      </c>
      <c r="AR151" s="300">
        <v>0</v>
      </c>
      <c r="AS151" s="130" t="e">
        <f t="shared" si="29"/>
        <v>#DIV/0!</v>
      </c>
      <c r="AT151" s="10">
        <f>IFERROR(XIRR($AS$125:$AS151,$D$125:$D151),-100%)</f>
        <v>-1</v>
      </c>
      <c r="AU151" s="300">
        <v>0</v>
      </c>
      <c r="AV151" s="130" t="e">
        <f t="shared" si="30"/>
        <v>#DIV/0!</v>
      </c>
      <c r="AW151" s="131">
        <f>IFERROR(XIRR($AV$125:$AV151,$D$125:$D151),-100%)</f>
        <v>-1</v>
      </c>
      <c r="AX151" s="213">
        <f t="shared" si="45"/>
        <v>0</v>
      </c>
      <c r="AY151" s="200" t="e">
        <f t="shared" si="31"/>
        <v>#DIV/0!</v>
      </c>
      <c r="AZ151" s="159">
        <f t="shared" si="32"/>
        <v>0</v>
      </c>
      <c r="BA151" s="148" t="e">
        <f t="shared" si="46"/>
        <v>#NUM!</v>
      </c>
      <c r="BB151" s="6" t="e">
        <f t="shared" si="33"/>
        <v>#NUM!</v>
      </c>
      <c r="BC151" s="6" t="e">
        <f t="shared" si="34"/>
        <v>#NUM!</v>
      </c>
      <c r="BD151" s="149" t="e">
        <f t="shared" si="35"/>
        <v>#NUM!</v>
      </c>
      <c r="BE151" s="148" t="e">
        <f t="shared" si="47"/>
        <v>#NUM!</v>
      </c>
      <c r="BF151" s="6" t="e">
        <f t="shared" si="36"/>
        <v>#NUM!</v>
      </c>
      <c r="BG151" s="6" t="e">
        <f t="shared" si="37"/>
        <v>#DIV/0!</v>
      </c>
      <c r="BH151" s="6" t="e">
        <f t="shared" si="48"/>
        <v>#NUM!</v>
      </c>
      <c r="BI151" s="138" t="e">
        <f t="shared" si="38"/>
        <v>#DIV/0!</v>
      </c>
    </row>
    <row r="152" spans="1:61" x14ac:dyDescent="0.25">
      <c r="A152"/>
      <c r="B152" s="9">
        <f t="shared" si="50"/>
        <v>3</v>
      </c>
      <c r="C152" s="13">
        <v>27</v>
      </c>
      <c r="D152" s="12">
        <f t="shared" si="39"/>
        <v>851</v>
      </c>
      <c r="E152" s="6">
        <f>INDEX(GC!$G$25:$G$144,MATCH($D152,GC!$C$25:$C$144,0))</f>
        <v>0</v>
      </c>
      <c r="F152" s="6">
        <f>INDEX(GC!$I$25:$I$144,MATCH($D152,GC!$C$25:$C$144,0))</f>
        <v>0</v>
      </c>
      <c r="G152" s="6">
        <f t="shared" si="40"/>
        <v>0</v>
      </c>
      <c r="H152" s="6">
        <f t="shared" si="2"/>
        <v>0</v>
      </c>
      <c r="I152" s="6">
        <f t="shared" si="51"/>
        <v>0</v>
      </c>
      <c r="J152" s="6">
        <f>IF(SUM($I$126:I152)&gt;$E$61, SUM($I$126:I152)-SUM($J$125:J151)-$E$61,0)</f>
        <v>0</v>
      </c>
      <c r="K152" s="6" t="e">
        <f t="shared" si="3"/>
        <v>#DIV/0!</v>
      </c>
      <c r="L152" s="6" t="e">
        <f t="shared" si="4"/>
        <v>#DIV/0!</v>
      </c>
      <c r="M152" s="6" t="e">
        <f t="shared" si="5"/>
        <v>#DIV/0!</v>
      </c>
      <c r="N152" s="6">
        <f t="shared" si="6"/>
        <v>0</v>
      </c>
      <c r="O152" s="6">
        <f t="shared" si="7"/>
        <v>0</v>
      </c>
      <c r="P152" s="6">
        <f t="shared" si="8"/>
        <v>0</v>
      </c>
      <c r="Q152" s="6">
        <f t="shared" si="9"/>
        <v>0</v>
      </c>
      <c r="R152" s="6" t="e">
        <f t="shared" si="41"/>
        <v>#DIV/0!</v>
      </c>
      <c r="S152" s="6" t="e">
        <f t="shared" si="10"/>
        <v>#DIV/0!</v>
      </c>
      <c r="T152" s="11" t="e">
        <f>SUM($R$126:R152)/($E$87)</f>
        <v>#DIV/0!</v>
      </c>
      <c r="U152" s="89" t="e">
        <f t="shared" si="11"/>
        <v>#DIV/0!</v>
      </c>
      <c r="V152" s="6" t="e">
        <f t="shared" si="12"/>
        <v>#DIV/0!</v>
      </c>
      <c r="W152" s="6" t="e">
        <f t="shared" si="42"/>
        <v>#DIV/0!</v>
      </c>
      <c r="X152" s="6" t="e">
        <f t="shared" si="13"/>
        <v>#DIV/0!</v>
      </c>
      <c r="Y152" s="6" t="e">
        <f t="shared" si="14"/>
        <v>#DIV/0!</v>
      </c>
      <c r="Z152" s="90" t="e">
        <f t="shared" si="15"/>
        <v>#DIV/0!</v>
      </c>
      <c r="AA152" s="89" t="e">
        <f t="shared" si="16"/>
        <v>#DIV/0!</v>
      </c>
      <c r="AB152" s="6" t="e">
        <f t="shared" si="17"/>
        <v>#DIV/0!</v>
      </c>
      <c r="AC152" s="6" t="e">
        <f t="shared" si="18"/>
        <v>#NUM!</v>
      </c>
      <c r="AD152" s="90" t="e">
        <f t="shared" si="19"/>
        <v>#NUM!</v>
      </c>
      <c r="AE152" s="6" t="e">
        <f t="shared" si="20"/>
        <v>#DIV/0!</v>
      </c>
      <c r="AF152" s="6" t="e">
        <f>IF(SUM(AE153:$AE$245)-SUM(AJ153:$AK$245,AN153:$AN$245)&gt;$E$42,0,IF(SUM($AF$125:AF151)=0,$E$42-(SUM(AE153:$AE$245)-SUM(AJ153:$AK$245,AN153:$AN$245)),AE152-SUM(AJ152:AK152,AN152)))</f>
        <v>#DIV/0!</v>
      </c>
      <c r="AG152" s="89" t="e">
        <f t="shared" si="21"/>
        <v>#DIV/0!</v>
      </c>
      <c r="AH152" s="6" t="e">
        <f t="shared" si="43"/>
        <v>#DIV/0!</v>
      </c>
      <c r="AI152" s="6" t="e">
        <f t="shared" si="22"/>
        <v>#DIV/0!</v>
      </c>
      <c r="AJ152" s="6">
        <f t="shared" si="23"/>
        <v>0</v>
      </c>
      <c r="AK152" s="90">
        <f t="shared" si="24"/>
        <v>0</v>
      </c>
      <c r="AL152" s="6" t="e">
        <f t="shared" si="25"/>
        <v>#DIV/0!</v>
      </c>
      <c r="AM152" s="6" t="e">
        <f t="shared" si="44"/>
        <v>#NUM!</v>
      </c>
      <c r="AN152" s="6">
        <f t="shared" si="26"/>
        <v>0</v>
      </c>
      <c r="AO152" s="6" t="e">
        <f t="shared" si="27"/>
        <v>#DIV/0!</v>
      </c>
      <c r="AP152" s="15">
        <f>IFERROR(XIRR($AO$125:AO152,$D$125:D152),-100%)</f>
        <v>-1</v>
      </c>
      <c r="AQ152" s="129" t="e">
        <f t="shared" si="28"/>
        <v>#NUM!</v>
      </c>
      <c r="AR152" s="300">
        <v>0</v>
      </c>
      <c r="AS152" s="130" t="e">
        <f t="shared" si="29"/>
        <v>#DIV/0!</v>
      </c>
      <c r="AT152" s="10">
        <f>IFERROR(XIRR($AS$125:$AS152,$D$125:$D152),-100%)</f>
        <v>-1</v>
      </c>
      <c r="AU152" s="300">
        <v>0</v>
      </c>
      <c r="AV152" s="130" t="e">
        <f t="shared" si="30"/>
        <v>#DIV/0!</v>
      </c>
      <c r="AW152" s="131">
        <f>IFERROR(XIRR($AV$125:$AV152,$D$125:$D152),-100%)</f>
        <v>-1</v>
      </c>
      <c r="AX152" s="213">
        <f t="shared" si="45"/>
        <v>0</v>
      </c>
      <c r="AY152" s="200" t="e">
        <f t="shared" si="31"/>
        <v>#DIV/0!</v>
      </c>
      <c r="AZ152" s="159">
        <f t="shared" si="32"/>
        <v>0</v>
      </c>
      <c r="BA152" s="148" t="e">
        <f t="shared" si="46"/>
        <v>#NUM!</v>
      </c>
      <c r="BB152" s="6" t="e">
        <f t="shared" si="33"/>
        <v>#NUM!</v>
      </c>
      <c r="BC152" s="6" t="e">
        <f t="shared" si="34"/>
        <v>#NUM!</v>
      </c>
      <c r="BD152" s="149" t="e">
        <f t="shared" si="35"/>
        <v>#NUM!</v>
      </c>
      <c r="BE152" s="148" t="e">
        <f t="shared" si="47"/>
        <v>#NUM!</v>
      </c>
      <c r="BF152" s="6" t="e">
        <f t="shared" si="36"/>
        <v>#NUM!</v>
      </c>
      <c r="BG152" s="6" t="e">
        <f t="shared" si="37"/>
        <v>#DIV/0!</v>
      </c>
      <c r="BH152" s="6" t="e">
        <f t="shared" si="48"/>
        <v>#NUM!</v>
      </c>
      <c r="BI152" s="138" t="e">
        <f t="shared" si="38"/>
        <v>#DIV/0!</v>
      </c>
    </row>
    <row r="153" spans="1:61" x14ac:dyDescent="0.25">
      <c r="A153"/>
      <c r="B153" s="9">
        <f t="shared" si="50"/>
        <v>3</v>
      </c>
      <c r="C153" s="13">
        <v>28</v>
      </c>
      <c r="D153" s="12">
        <f t="shared" si="39"/>
        <v>882</v>
      </c>
      <c r="E153" s="6">
        <f>INDEX(GC!$G$25:$G$144,MATCH($D153,GC!$C$25:$C$144,0))</f>
        <v>0</v>
      </c>
      <c r="F153" s="6">
        <f>INDEX(GC!$I$25:$I$144,MATCH($D153,GC!$C$25:$C$144,0))</f>
        <v>0</v>
      </c>
      <c r="G153" s="6">
        <f t="shared" si="40"/>
        <v>0</v>
      </c>
      <c r="H153" s="6">
        <f t="shared" si="2"/>
        <v>0</v>
      </c>
      <c r="I153" s="6">
        <f t="shared" si="51"/>
        <v>0</v>
      </c>
      <c r="J153" s="6">
        <f>IF(SUM($I$126:I153)&gt;$E$61, SUM($I$126:I153)-SUM($J$125:J152)-$E$61,0)</f>
        <v>0</v>
      </c>
      <c r="K153" s="6" t="e">
        <f t="shared" si="3"/>
        <v>#DIV/0!</v>
      </c>
      <c r="L153" s="6" t="e">
        <f t="shared" si="4"/>
        <v>#DIV/0!</v>
      </c>
      <c r="M153" s="6" t="e">
        <f t="shared" si="5"/>
        <v>#DIV/0!</v>
      </c>
      <c r="N153" s="6">
        <f t="shared" si="6"/>
        <v>0</v>
      </c>
      <c r="O153" s="6">
        <f t="shared" si="7"/>
        <v>0</v>
      </c>
      <c r="P153" s="6">
        <f t="shared" si="8"/>
        <v>0</v>
      </c>
      <c r="Q153" s="6">
        <f t="shared" si="9"/>
        <v>0</v>
      </c>
      <c r="R153" s="6" t="e">
        <f t="shared" si="41"/>
        <v>#DIV/0!</v>
      </c>
      <c r="S153" s="6" t="e">
        <f t="shared" si="10"/>
        <v>#DIV/0!</v>
      </c>
      <c r="T153" s="11" t="e">
        <f>SUM($R$126:R153)/($E$87)</f>
        <v>#DIV/0!</v>
      </c>
      <c r="U153" s="89" t="e">
        <f t="shared" si="11"/>
        <v>#DIV/0!</v>
      </c>
      <c r="V153" s="6" t="e">
        <f t="shared" si="12"/>
        <v>#DIV/0!</v>
      </c>
      <c r="W153" s="6" t="e">
        <f t="shared" si="42"/>
        <v>#DIV/0!</v>
      </c>
      <c r="X153" s="6" t="e">
        <f t="shared" si="13"/>
        <v>#DIV/0!</v>
      </c>
      <c r="Y153" s="6" t="e">
        <f t="shared" si="14"/>
        <v>#DIV/0!</v>
      </c>
      <c r="Z153" s="90" t="e">
        <f t="shared" si="15"/>
        <v>#DIV/0!</v>
      </c>
      <c r="AA153" s="89" t="e">
        <f t="shared" si="16"/>
        <v>#DIV/0!</v>
      </c>
      <c r="AB153" s="6" t="e">
        <f t="shared" si="17"/>
        <v>#DIV/0!</v>
      </c>
      <c r="AC153" s="6" t="e">
        <f t="shared" si="18"/>
        <v>#NUM!</v>
      </c>
      <c r="AD153" s="90" t="e">
        <f t="shared" si="19"/>
        <v>#NUM!</v>
      </c>
      <c r="AE153" s="6" t="e">
        <f t="shared" si="20"/>
        <v>#DIV/0!</v>
      </c>
      <c r="AF153" s="6" t="e">
        <f>IF(SUM(AE154:$AE$245)-SUM(AJ154:$AK$245,AN154:$AN$245)&gt;$E$42,0,IF(SUM($AF$125:AF152)=0,$E$42-(SUM(AE154:$AE$245)-SUM(AJ154:$AK$245,AN154:$AN$245)),AE153-SUM(AJ153:AK153,AN153)))</f>
        <v>#DIV/0!</v>
      </c>
      <c r="AG153" s="89" t="e">
        <f t="shared" si="21"/>
        <v>#DIV/0!</v>
      </c>
      <c r="AH153" s="6" t="e">
        <f t="shared" si="43"/>
        <v>#DIV/0!</v>
      </c>
      <c r="AI153" s="6" t="e">
        <f t="shared" si="22"/>
        <v>#DIV/0!</v>
      </c>
      <c r="AJ153" s="6">
        <f t="shared" si="23"/>
        <v>0</v>
      </c>
      <c r="AK153" s="90">
        <f t="shared" si="24"/>
        <v>0</v>
      </c>
      <c r="AL153" s="6" t="e">
        <f t="shared" si="25"/>
        <v>#DIV/0!</v>
      </c>
      <c r="AM153" s="6" t="e">
        <f t="shared" si="44"/>
        <v>#NUM!</v>
      </c>
      <c r="AN153" s="6">
        <f t="shared" si="26"/>
        <v>0</v>
      </c>
      <c r="AO153" s="6" t="e">
        <f t="shared" si="27"/>
        <v>#DIV/0!</v>
      </c>
      <c r="AP153" s="15">
        <f>IFERROR(XIRR($AO$125:AO153,$D$125:D153),-100%)</f>
        <v>-1</v>
      </c>
      <c r="AQ153" s="129" t="e">
        <f t="shared" si="28"/>
        <v>#NUM!</v>
      </c>
      <c r="AR153" s="300">
        <v>0</v>
      </c>
      <c r="AS153" s="130" t="e">
        <f t="shared" si="29"/>
        <v>#DIV/0!</v>
      </c>
      <c r="AT153" s="10">
        <f>IFERROR(XIRR($AS$125:$AS153,$D$125:$D153),-100%)</f>
        <v>-1</v>
      </c>
      <c r="AU153" s="300">
        <v>0</v>
      </c>
      <c r="AV153" s="130" t="e">
        <f t="shared" si="30"/>
        <v>#DIV/0!</v>
      </c>
      <c r="AW153" s="131">
        <f>IFERROR(XIRR($AV$125:$AV153,$D$125:$D153),-100%)</f>
        <v>-1</v>
      </c>
      <c r="AX153" s="213">
        <f t="shared" si="45"/>
        <v>0</v>
      </c>
      <c r="AY153" s="200" t="e">
        <f t="shared" si="31"/>
        <v>#DIV/0!</v>
      </c>
      <c r="AZ153" s="159">
        <f t="shared" si="32"/>
        <v>0</v>
      </c>
      <c r="BA153" s="148" t="e">
        <f t="shared" si="46"/>
        <v>#NUM!</v>
      </c>
      <c r="BB153" s="6" t="e">
        <f t="shared" si="33"/>
        <v>#NUM!</v>
      </c>
      <c r="BC153" s="6" t="e">
        <f t="shared" si="34"/>
        <v>#NUM!</v>
      </c>
      <c r="BD153" s="149" t="e">
        <f t="shared" si="35"/>
        <v>#NUM!</v>
      </c>
      <c r="BE153" s="148" t="e">
        <f t="shared" si="47"/>
        <v>#NUM!</v>
      </c>
      <c r="BF153" s="6" t="e">
        <f t="shared" si="36"/>
        <v>#NUM!</v>
      </c>
      <c r="BG153" s="6" t="e">
        <f t="shared" si="37"/>
        <v>#DIV/0!</v>
      </c>
      <c r="BH153" s="6" t="e">
        <f t="shared" si="48"/>
        <v>#NUM!</v>
      </c>
      <c r="BI153" s="138" t="e">
        <f t="shared" si="38"/>
        <v>#DIV/0!</v>
      </c>
    </row>
    <row r="154" spans="1:61" x14ac:dyDescent="0.25">
      <c r="A154"/>
      <c r="B154" s="9">
        <f t="shared" si="50"/>
        <v>3</v>
      </c>
      <c r="C154" s="13">
        <v>29</v>
      </c>
      <c r="D154" s="12">
        <f t="shared" si="39"/>
        <v>912</v>
      </c>
      <c r="E154" s="6">
        <f>INDEX(GC!$G$25:$G$144,MATCH($D154,GC!$C$25:$C$144,0))</f>
        <v>0</v>
      </c>
      <c r="F154" s="6">
        <f>INDEX(GC!$I$25:$I$144,MATCH($D154,GC!$C$25:$C$144,0))</f>
        <v>0</v>
      </c>
      <c r="G154" s="6">
        <f t="shared" si="40"/>
        <v>0</v>
      </c>
      <c r="H154" s="6">
        <f t="shared" si="2"/>
        <v>0</v>
      </c>
      <c r="I154" s="6">
        <f t="shared" si="51"/>
        <v>0</v>
      </c>
      <c r="J154" s="6">
        <f>IF(SUM($I$126:I154)&gt;$E$61, SUM($I$126:I154)-SUM($J$125:J153)-$E$61,0)</f>
        <v>0</v>
      </c>
      <c r="K154" s="6" t="e">
        <f t="shared" si="3"/>
        <v>#DIV/0!</v>
      </c>
      <c r="L154" s="6" t="e">
        <f t="shared" si="4"/>
        <v>#DIV/0!</v>
      </c>
      <c r="M154" s="6" t="e">
        <f t="shared" si="5"/>
        <v>#DIV/0!</v>
      </c>
      <c r="N154" s="6">
        <f t="shared" si="6"/>
        <v>0</v>
      </c>
      <c r="O154" s="6">
        <f t="shared" si="7"/>
        <v>0</v>
      </c>
      <c r="P154" s="6">
        <f t="shared" si="8"/>
        <v>0</v>
      </c>
      <c r="Q154" s="6">
        <f t="shared" si="9"/>
        <v>0</v>
      </c>
      <c r="R154" s="6" t="e">
        <f t="shared" si="41"/>
        <v>#DIV/0!</v>
      </c>
      <c r="S154" s="6" t="e">
        <f t="shared" si="10"/>
        <v>#DIV/0!</v>
      </c>
      <c r="T154" s="11" t="e">
        <f>SUM($R$126:R154)/($E$87)</f>
        <v>#DIV/0!</v>
      </c>
      <c r="U154" s="89" t="e">
        <f t="shared" si="11"/>
        <v>#DIV/0!</v>
      </c>
      <c r="V154" s="6" t="e">
        <f t="shared" si="12"/>
        <v>#DIV/0!</v>
      </c>
      <c r="W154" s="6" t="e">
        <f t="shared" si="42"/>
        <v>#DIV/0!</v>
      </c>
      <c r="X154" s="6" t="e">
        <f t="shared" si="13"/>
        <v>#DIV/0!</v>
      </c>
      <c r="Y154" s="6" t="e">
        <f t="shared" si="14"/>
        <v>#DIV/0!</v>
      </c>
      <c r="Z154" s="90" t="e">
        <f t="shared" si="15"/>
        <v>#DIV/0!</v>
      </c>
      <c r="AA154" s="89" t="e">
        <f t="shared" si="16"/>
        <v>#DIV/0!</v>
      </c>
      <c r="AB154" s="6" t="e">
        <f t="shared" si="17"/>
        <v>#DIV/0!</v>
      </c>
      <c r="AC154" s="6" t="e">
        <f t="shared" si="18"/>
        <v>#NUM!</v>
      </c>
      <c r="AD154" s="90" t="e">
        <f t="shared" si="19"/>
        <v>#NUM!</v>
      </c>
      <c r="AE154" s="6" t="e">
        <f t="shared" si="20"/>
        <v>#DIV/0!</v>
      </c>
      <c r="AF154" s="6" t="e">
        <f>IF(SUM(AE155:$AE$245)-SUM(AJ155:$AK$245,AN155:$AN$245)&gt;$E$42,0,IF(SUM($AF$125:AF153)=0,$E$42-(SUM(AE155:$AE$245)-SUM(AJ155:$AK$245,AN155:$AN$245)),AE154-SUM(AJ154:AK154,AN154)))</f>
        <v>#DIV/0!</v>
      </c>
      <c r="AG154" s="89" t="e">
        <f t="shared" si="21"/>
        <v>#DIV/0!</v>
      </c>
      <c r="AH154" s="6" t="e">
        <f t="shared" si="43"/>
        <v>#DIV/0!</v>
      </c>
      <c r="AI154" s="6" t="e">
        <f t="shared" si="22"/>
        <v>#DIV/0!</v>
      </c>
      <c r="AJ154" s="6">
        <f t="shared" si="23"/>
        <v>0</v>
      </c>
      <c r="AK154" s="90">
        <f t="shared" si="24"/>
        <v>0</v>
      </c>
      <c r="AL154" s="6" t="e">
        <f t="shared" si="25"/>
        <v>#DIV/0!</v>
      </c>
      <c r="AM154" s="6" t="e">
        <f t="shared" si="44"/>
        <v>#NUM!</v>
      </c>
      <c r="AN154" s="6">
        <f t="shared" si="26"/>
        <v>0</v>
      </c>
      <c r="AO154" s="6" t="e">
        <f t="shared" si="27"/>
        <v>#DIV/0!</v>
      </c>
      <c r="AP154" s="15">
        <f>IFERROR(XIRR($AO$125:AO154,$D$125:D154),-100%)</f>
        <v>-1</v>
      </c>
      <c r="AQ154" s="129" t="e">
        <f t="shared" si="28"/>
        <v>#NUM!</v>
      </c>
      <c r="AR154" s="300">
        <v>0</v>
      </c>
      <c r="AS154" s="130" t="e">
        <f t="shared" si="29"/>
        <v>#DIV/0!</v>
      </c>
      <c r="AT154" s="10">
        <f>IFERROR(XIRR($AS$125:$AS154,$D$125:$D154),-100%)</f>
        <v>-1</v>
      </c>
      <c r="AU154" s="300">
        <v>0</v>
      </c>
      <c r="AV154" s="130" t="e">
        <f t="shared" si="30"/>
        <v>#DIV/0!</v>
      </c>
      <c r="AW154" s="131">
        <f>IFERROR(XIRR($AV$125:$AV154,$D$125:$D154),-100%)</f>
        <v>-1</v>
      </c>
      <c r="AX154" s="213">
        <f t="shared" si="45"/>
        <v>0</v>
      </c>
      <c r="AY154" s="200" t="e">
        <f t="shared" si="31"/>
        <v>#DIV/0!</v>
      </c>
      <c r="AZ154" s="159">
        <f t="shared" si="32"/>
        <v>0</v>
      </c>
      <c r="BA154" s="148" t="e">
        <f t="shared" si="46"/>
        <v>#NUM!</v>
      </c>
      <c r="BB154" s="6" t="e">
        <f t="shared" si="33"/>
        <v>#NUM!</v>
      </c>
      <c r="BC154" s="6" t="e">
        <f t="shared" si="34"/>
        <v>#NUM!</v>
      </c>
      <c r="BD154" s="149" t="e">
        <f t="shared" si="35"/>
        <v>#NUM!</v>
      </c>
      <c r="BE154" s="148" t="e">
        <f t="shared" si="47"/>
        <v>#NUM!</v>
      </c>
      <c r="BF154" s="6" t="e">
        <f t="shared" si="36"/>
        <v>#NUM!</v>
      </c>
      <c r="BG154" s="6" t="e">
        <f t="shared" si="37"/>
        <v>#DIV/0!</v>
      </c>
      <c r="BH154" s="6" t="e">
        <f t="shared" si="48"/>
        <v>#NUM!</v>
      </c>
      <c r="BI154" s="138" t="e">
        <f t="shared" si="38"/>
        <v>#DIV/0!</v>
      </c>
    </row>
    <row r="155" spans="1:61" x14ac:dyDescent="0.25">
      <c r="A155"/>
      <c r="B155" s="9">
        <f t="shared" si="50"/>
        <v>3</v>
      </c>
      <c r="C155" s="13">
        <v>30</v>
      </c>
      <c r="D155" s="12">
        <f t="shared" si="39"/>
        <v>943</v>
      </c>
      <c r="E155" s="6">
        <f>INDEX(GC!$G$25:$G$144,MATCH($D155,GC!$C$25:$C$144,0))</f>
        <v>0</v>
      </c>
      <c r="F155" s="6">
        <f>INDEX(GC!$I$25:$I$144,MATCH($D155,GC!$C$25:$C$144,0))</f>
        <v>0</v>
      </c>
      <c r="G155" s="6">
        <f t="shared" si="40"/>
        <v>0</v>
      </c>
      <c r="H155" s="6">
        <f t="shared" si="2"/>
        <v>0</v>
      </c>
      <c r="I155" s="6">
        <f t="shared" si="51"/>
        <v>0</v>
      </c>
      <c r="J155" s="6">
        <f>IF(SUM($I$126:I155)&gt;$E$61, SUM($I$126:I155)-SUM($J$125:J154)-$E$61,0)</f>
        <v>0</v>
      </c>
      <c r="K155" s="6" t="e">
        <f t="shared" si="3"/>
        <v>#DIV/0!</v>
      </c>
      <c r="L155" s="6" t="e">
        <f t="shared" si="4"/>
        <v>#DIV/0!</v>
      </c>
      <c r="M155" s="6" t="e">
        <f t="shared" si="5"/>
        <v>#DIV/0!</v>
      </c>
      <c r="N155" s="6">
        <f t="shared" si="6"/>
        <v>0</v>
      </c>
      <c r="O155" s="6">
        <f t="shared" si="7"/>
        <v>0</v>
      </c>
      <c r="P155" s="6">
        <f t="shared" si="8"/>
        <v>0</v>
      </c>
      <c r="Q155" s="6">
        <f t="shared" si="9"/>
        <v>0</v>
      </c>
      <c r="R155" s="6" t="e">
        <f t="shared" si="41"/>
        <v>#DIV/0!</v>
      </c>
      <c r="S155" s="6" t="e">
        <f t="shared" si="10"/>
        <v>#DIV/0!</v>
      </c>
      <c r="T155" s="11" t="e">
        <f>SUM($R$126:R155)/($E$87)</f>
        <v>#DIV/0!</v>
      </c>
      <c r="U155" s="89" t="e">
        <f t="shared" si="11"/>
        <v>#DIV/0!</v>
      </c>
      <c r="V155" s="6" t="e">
        <f t="shared" si="12"/>
        <v>#DIV/0!</v>
      </c>
      <c r="W155" s="6" t="e">
        <f t="shared" si="42"/>
        <v>#DIV/0!</v>
      </c>
      <c r="X155" s="6" t="e">
        <f t="shared" si="13"/>
        <v>#DIV/0!</v>
      </c>
      <c r="Y155" s="6" t="e">
        <f t="shared" si="14"/>
        <v>#DIV/0!</v>
      </c>
      <c r="Z155" s="90" t="e">
        <f t="shared" si="15"/>
        <v>#DIV/0!</v>
      </c>
      <c r="AA155" s="89" t="e">
        <f t="shared" si="16"/>
        <v>#DIV/0!</v>
      </c>
      <c r="AB155" s="6" t="e">
        <f t="shared" si="17"/>
        <v>#DIV/0!</v>
      </c>
      <c r="AC155" s="6" t="e">
        <f t="shared" si="18"/>
        <v>#NUM!</v>
      </c>
      <c r="AD155" s="90" t="e">
        <f t="shared" si="19"/>
        <v>#NUM!</v>
      </c>
      <c r="AE155" s="6" t="e">
        <f t="shared" si="20"/>
        <v>#DIV/0!</v>
      </c>
      <c r="AF155" s="6" t="e">
        <f>IF(SUM(AE156:$AE$245)-SUM(AJ156:$AK$245,AN156:$AN$245)&gt;$E$42,0,IF(SUM($AF$125:AF154)=0,$E$42-(SUM(AE156:$AE$245)-SUM(AJ156:$AK$245,AN156:$AN$245)),AE155-SUM(AJ155:AK155,AN155)))</f>
        <v>#DIV/0!</v>
      </c>
      <c r="AG155" s="89" t="e">
        <f t="shared" si="21"/>
        <v>#DIV/0!</v>
      </c>
      <c r="AH155" s="6" t="e">
        <f t="shared" si="43"/>
        <v>#DIV/0!</v>
      </c>
      <c r="AI155" s="6" t="e">
        <f t="shared" si="22"/>
        <v>#DIV/0!</v>
      </c>
      <c r="AJ155" s="6">
        <f t="shared" si="23"/>
        <v>0</v>
      </c>
      <c r="AK155" s="90">
        <f t="shared" si="24"/>
        <v>0</v>
      </c>
      <c r="AL155" s="6" t="e">
        <f t="shared" si="25"/>
        <v>#DIV/0!</v>
      </c>
      <c r="AM155" s="6" t="e">
        <f t="shared" si="44"/>
        <v>#NUM!</v>
      </c>
      <c r="AN155" s="6">
        <f t="shared" si="26"/>
        <v>0</v>
      </c>
      <c r="AO155" s="6" t="e">
        <f t="shared" si="27"/>
        <v>#DIV/0!</v>
      </c>
      <c r="AP155" s="15">
        <f>IFERROR(XIRR($AO$125:AO155,$D$125:D155),-100%)</f>
        <v>-1</v>
      </c>
      <c r="AQ155" s="129" t="e">
        <f t="shared" si="28"/>
        <v>#NUM!</v>
      </c>
      <c r="AR155" s="300">
        <v>0</v>
      </c>
      <c r="AS155" s="130" t="e">
        <f t="shared" si="29"/>
        <v>#DIV/0!</v>
      </c>
      <c r="AT155" s="10">
        <f>IFERROR(XIRR($AS$125:$AS155,$D$125:$D155),-100%)</f>
        <v>-1</v>
      </c>
      <c r="AU155" s="300">
        <v>0</v>
      </c>
      <c r="AV155" s="130" t="e">
        <f t="shared" si="30"/>
        <v>#DIV/0!</v>
      </c>
      <c r="AW155" s="131">
        <f>IFERROR(XIRR($AV$125:$AV155,$D$125:$D155),-100%)</f>
        <v>-1</v>
      </c>
      <c r="AX155" s="213">
        <f t="shared" si="45"/>
        <v>0</v>
      </c>
      <c r="AY155" s="200" t="e">
        <f t="shared" si="31"/>
        <v>#DIV/0!</v>
      </c>
      <c r="AZ155" s="159">
        <f t="shared" si="32"/>
        <v>0</v>
      </c>
      <c r="BA155" s="148" t="e">
        <f t="shared" si="46"/>
        <v>#NUM!</v>
      </c>
      <c r="BB155" s="6" t="e">
        <f t="shared" si="33"/>
        <v>#NUM!</v>
      </c>
      <c r="BC155" s="6" t="e">
        <f t="shared" si="34"/>
        <v>#NUM!</v>
      </c>
      <c r="BD155" s="149" t="e">
        <f t="shared" si="35"/>
        <v>#NUM!</v>
      </c>
      <c r="BE155" s="148" t="e">
        <f t="shared" si="47"/>
        <v>#NUM!</v>
      </c>
      <c r="BF155" s="6" t="e">
        <f t="shared" si="36"/>
        <v>#NUM!</v>
      </c>
      <c r="BG155" s="6" t="e">
        <f t="shared" si="37"/>
        <v>#DIV/0!</v>
      </c>
      <c r="BH155" s="6" t="e">
        <f t="shared" si="48"/>
        <v>#NUM!</v>
      </c>
      <c r="BI155" s="138" t="e">
        <f t="shared" si="38"/>
        <v>#DIV/0!</v>
      </c>
    </row>
    <row r="156" spans="1:61" x14ac:dyDescent="0.25">
      <c r="A156"/>
      <c r="B156" s="9">
        <f t="shared" si="50"/>
        <v>3</v>
      </c>
      <c r="C156" s="13">
        <v>31</v>
      </c>
      <c r="D156" s="12">
        <f t="shared" si="39"/>
        <v>974</v>
      </c>
      <c r="E156" s="6">
        <f>INDEX(GC!$G$25:$G$144,MATCH($D156,GC!$C$25:$C$144,0))</f>
        <v>0</v>
      </c>
      <c r="F156" s="6">
        <f>INDEX(GC!$I$25:$I$144,MATCH($D156,GC!$C$25:$C$144,0))</f>
        <v>0</v>
      </c>
      <c r="G156" s="6">
        <f t="shared" si="40"/>
        <v>0</v>
      </c>
      <c r="H156" s="6">
        <f t="shared" si="2"/>
        <v>0</v>
      </c>
      <c r="I156" s="6">
        <f t="shared" si="51"/>
        <v>0</v>
      </c>
      <c r="J156" s="6">
        <f>IF(SUM($I$126:I156)&gt;$E$61, SUM($I$126:I156)-SUM($J$125:J155)-$E$61,0)</f>
        <v>0</v>
      </c>
      <c r="K156" s="6" t="e">
        <f t="shared" si="3"/>
        <v>#DIV/0!</v>
      </c>
      <c r="L156" s="6" t="e">
        <f t="shared" si="4"/>
        <v>#DIV/0!</v>
      </c>
      <c r="M156" s="6" t="e">
        <f t="shared" si="5"/>
        <v>#DIV/0!</v>
      </c>
      <c r="N156" s="6">
        <f t="shared" si="6"/>
        <v>0</v>
      </c>
      <c r="O156" s="6">
        <f t="shared" si="7"/>
        <v>0</v>
      </c>
      <c r="P156" s="6">
        <f t="shared" si="8"/>
        <v>0</v>
      </c>
      <c r="Q156" s="6">
        <f t="shared" si="9"/>
        <v>0</v>
      </c>
      <c r="R156" s="6" t="e">
        <f t="shared" si="41"/>
        <v>#DIV/0!</v>
      </c>
      <c r="S156" s="6" t="e">
        <f t="shared" si="10"/>
        <v>#DIV/0!</v>
      </c>
      <c r="T156" s="11" t="e">
        <f>SUM($R$126:R156)/($E$87)</f>
        <v>#DIV/0!</v>
      </c>
      <c r="U156" s="89" t="e">
        <f t="shared" si="11"/>
        <v>#DIV/0!</v>
      </c>
      <c r="V156" s="6" t="e">
        <f t="shared" si="12"/>
        <v>#DIV/0!</v>
      </c>
      <c r="W156" s="6" t="e">
        <f t="shared" si="42"/>
        <v>#DIV/0!</v>
      </c>
      <c r="X156" s="6" t="e">
        <f t="shared" si="13"/>
        <v>#DIV/0!</v>
      </c>
      <c r="Y156" s="6" t="e">
        <f t="shared" si="14"/>
        <v>#DIV/0!</v>
      </c>
      <c r="Z156" s="90" t="e">
        <f t="shared" si="15"/>
        <v>#DIV/0!</v>
      </c>
      <c r="AA156" s="89" t="e">
        <f t="shared" si="16"/>
        <v>#DIV/0!</v>
      </c>
      <c r="AB156" s="6" t="e">
        <f t="shared" si="17"/>
        <v>#DIV/0!</v>
      </c>
      <c r="AC156" s="6" t="e">
        <f t="shared" si="18"/>
        <v>#NUM!</v>
      </c>
      <c r="AD156" s="90" t="e">
        <f t="shared" si="19"/>
        <v>#NUM!</v>
      </c>
      <c r="AE156" s="6" t="e">
        <f t="shared" si="20"/>
        <v>#DIV/0!</v>
      </c>
      <c r="AF156" s="6" t="e">
        <f>IF(SUM(AE157:$AE$245)-SUM(AJ157:$AK$245,AN157:$AN$245)&gt;$E$42,0,IF(SUM($AF$125:AF155)=0,$E$42-(SUM(AE157:$AE$245)-SUM(AJ157:$AK$245,AN157:$AN$245)),AE156-SUM(AJ156:AK156,AN156)))</f>
        <v>#DIV/0!</v>
      </c>
      <c r="AG156" s="89" t="e">
        <f t="shared" si="21"/>
        <v>#DIV/0!</v>
      </c>
      <c r="AH156" s="6" t="e">
        <f t="shared" si="43"/>
        <v>#DIV/0!</v>
      </c>
      <c r="AI156" s="6" t="e">
        <f t="shared" si="22"/>
        <v>#DIV/0!</v>
      </c>
      <c r="AJ156" s="6">
        <f t="shared" si="23"/>
        <v>0</v>
      </c>
      <c r="AK156" s="90">
        <f t="shared" si="24"/>
        <v>0</v>
      </c>
      <c r="AL156" s="6" t="e">
        <f t="shared" si="25"/>
        <v>#DIV/0!</v>
      </c>
      <c r="AM156" s="6" t="e">
        <f t="shared" si="44"/>
        <v>#NUM!</v>
      </c>
      <c r="AN156" s="6">
        <f t="shared" si="26"/>
        <v>0</v>
      </c>
      <c r="AO156" s="6" t="e">
        <f t="shared" si="27"/>
        <v>#DIV/0!</v>
      </c>
      <c r="AP156" s="15">
        <f>IFERROR(XIRR($AO$125:AO156,$D$125:D156),-100%)</f>
        <v>-1</v>
      </c>
      <c r="AQ156" s="129" t="e">
        <f t="shared" si="28"/>
        <v>#NUM!</v>
      </c>
      <c r="AR156" s="300">
        <v>0</v>
      </c>
      <c r="AS156" s="130" t="e">
        <f t="shared" si="29"/>
        <v>#DIV/0!</v>
      </c>
      <c r="AT156" s="10">
        <f>IFERROR(XIRR($AS$125:$AS156,$D$125:$D156),-100%)</f>
        <v>-1</v>
      </c>
      <c r="AU156" s="300">
        <v>0</v>
      </c>
      <c r="AV156" s="130" t="e">
        <f t="shared" si="30"/>
        <v>#DIV/0!</v>
      </c>
      <c r="AW156" s="131">
        <f>IFERROR(XIRR($AV$125:$AV156,$D$125:$D156),-100%)</f>
        <v>-1</v>
      </c>
      <c r="AX156" s="213">
        <f t="shared" si="45"/>
        <v>0</v>
      </c>
      <c r="AY156" s="200" t="e">
        <f t="shared" si="31"/>
        <v>#DIV/0!</v>
      </c>
      <c r="AZ156" s="159">
        <f t="shared" si="32"/>
        <v>0</v>
      </c>
      <c r="BA156" s="148" t="e">
        <f t="shared" si="46"/>
        <v>#NUM!</v>
      </c>
      <c r="BB156" s="6" t="e">
        <f t="shared" si="33"/>
        <v>#NUM!</v>
      </c>
      <c r="BC156" s="6" t="e">
        <f t="shared" si="34"/>
        <v>#NUM!</v>
      </c>
      <c r="BD156" s="149" t="e">
        <f t="shared" si="35"/>
        <v>#NUM!</v>
      </c>
      <c r="BE156" s="148" t="e">
        <f t="shared" si="47"/>
        <v>#NUM!</v>
      </c>
      <c r="BF156" s="6" t="e">
        <f t="shared" si="36"/>
        <v>#NUM!</v>
      </c>
      <c r="BG156" s="6" t="e">
        <f t="shared" si="37"/>
        <v>#DIV/0!</v>
      </c>
      <c r="BH156" s="6" t="e">
        <f t="shared" si="48"/>
        <v>#NUM!</v>
      </c>
      <c r="BI156" s="138" t="e">
        <f t="shared" si="38"/>
        <v>#DIV/0!</v>
      </c>
    </row>
    <row r="157" spans="1:61" x14ac:dyDescent="0.25">
      <c r="A157"/>
      <c r="B157" s="9">
        <f t="shared" si="50"/>
        <v>3</v>
      </c>
      <c r="C157" s="13">
        <v>32</v>
      </c>
      <c r="D157" s="12">
        <f t="shared" si="39"/>
        <v>1004</v>
      </c>
      <c r="E157" s="6">
        <f>INDEX(GC!$G$25:$G$144,MATCH($D157,GC!$C$25:$C$144,0))</f>
        <v>0</v>
      </c>
      <c r="F157" s="6">
        <f>INDEX(GC!$I$25:$I$144,MATCH($D157,GC!$C$25:$C$144,0))</f>
        <v>0</v>
      </c>
      <c r="G157" s="6">
        <f t="shared" si="40"/>
        <v>0</v>
      </c>
      <c r="H157" s="6">
        <f t="shared" si="2"/>
        <v>0</v>
      </c>
      <c r="I157" s="6">
        <f t="shared" si="51"/>
        <v>0</v>
      </c>
      <c r="J157" s="6">
        <f>IF(SUM($I$126:I157)&gt;$E$61, SUM($I$126:I157)-SUM($J$125:J156)-$E$61,0)</f>
        <v>0</v>
      </c>
      <c r="K157" s="6" t="e">
        <f t="shared" si="3"/>
        <v>#DIV/0!</v>
      </c>
      <c r="L157" s="6" t="e">
        <f t="shared" si="4"/>
        <v>#DIV/0!</v>
      </c>
      <c r="M157" s="6" t="e">
        <f t="shared" si="5"/>
        <v>#DIV/0!</v>
      </c>
      <c r="N157" s="6">
        <f t="shared" si="6"/>
        <v>0</v>
      </c>
      <c r="O157" s="6">
        <f t="shared" si="7"/>
        <v>0</v>
      </c>
      <c r="P157" s="6">
        <f t="shared" si="8"/>
        <v>0</v>
      </c>
      <c r="Q157" s="6">
        <f t="shared" si="9"/>
        <v>0</v>
      </c>
      <c r="R157" s="6" t="e">
        <f t="shared" si="41"/>
        <v>#DIV/0!</v>
      </c>
      <c r="S157" s="6" t="e">
        <f t="shared" si="10"/>
        <v>#DIV/0!</v>
      </c>
      <c r="T157" s="11" t="e">
        <f>SUM($R$126:R157)/($E$87)</f>
        <v>#DIV/0!</v>
      </c>
      <c r="U157" s="89" t="e">
        <f t="shared" si="11"/>
        <v>#DIV/0!</v>
      </c>
      <c r="V157" s="6" t="e">
        <f t="shared" si="12"/>
        <v>#DIV/0!</v>
      </c>
      <c r="W157" s="6" t="e">
        <f t="shared" si="42"/>
        <v>#DIV/0!</v>
      </c>
      <c r="X157" s="6" t="e">
        <f t="shared" si="13"/>
        <v>#DIV/0!</v>
      </c>
      <c r="Y157" s="6" t="e">
        <f t="shared" si="14"/>
        <v>#DIV/0!</v>
      </c>
      <c r="Z157" s="90" t="e">
        <f t="shared" si="15"/>
        <v>#DIV/0!</v>
      </c>
      <c r="AA157" s="89" t="e">
        <f t="shared" si="16"/>
        <v>#DIV/0!</v>
      </c>
      <c r="AB157" s="6" t="e">
        <f t="shared" si="17"/>
        <v>#DIV/0!</v>
      </c>
      <c r="AC157" s="6" t="e">
        <f t="shared" si="18"/>
        <v>#NUM!</v>
      </c>
      <c r="AD157" s="90" t="e">
        <f t="shared" si="19"/>
        <v>#NUM!</v>
      </c>
      <c r="AE157" s="6" t="e">
        <f t="shared" si="20"/>
        <v>#DIV/0!</v>
      </c>
      <c r="AF157" s="6" t="e">
        <f>IF(SUM(AE158:$AE$245)-SUM(AJ158:$AK$245,AN158:$AN$245)&gt;$E$42,0,IF(SUM($AF$125:AF156)=0,$E$42-(SUM(AE158:$AE$245)-SUM(AJ158:$AK$245,AN158:$AN$245)),AE157-SUM(AJ157:AK157,AN157)))</f>
        <v>#DIV/0!</v>
      </c>
      <c r="AG157" s="89" t="e">
        <f t="shared" si="21"/>
        <v>#DIV/0!</v>
      </c>
      <c r="AH157" s="6" t="e">
        <f t="shared" si="43"/>
        <v>#DIV/0!</v>
      </c>
      <c r="AI157" s="6" t="e">
        <f t="shared" si="22"/>
        <v>#DIV/0!</v>
      </c>
      <c r="AJ157" s="6">
        <f t="shared" si="23"/>
        <v>0</v>
      </c>
      <c r="AK157" s="90">
        <f t="shared" si="24"/>
        <v>0</v>
      </c>
      <c r="AL157" s="6" t="e">
        <f t="shared" si="25"/>
        <v>#DIV/0!</v>
      </c>
      <c r="AM157" s="6" t="e">
        <f t="shared" si="44"/>
        <v>#NUM!</v>
      </c>
      <c r="AN157" s="6">
        <f t="shared" si="26"/>
        <v>0</v>
      </c>
      <c r="AO157" s="6" t="e">
        <f t="shared" si="27"/>
        <v>#DIV/0!</v>
      </c>
      <c r="AP157" s="15">
        <f>IFERROR(XIRR($AO$125:AO157,$D$125:D157),-100%)</f>
        <v>-1</v>
      </c>
      <c r="AQ157" s="129" t="e">
        <f t="shared" si="28"/>
        <v>#NUM!</v>
      </c>
      <c r="AR157" s="300">
        <v>0</v>
      </c>
      <c r="AS157" s="130" t="e">
        <f t="shared" si="29"/>
        <v>#DIV/0!</v>
      </c>
      <c r="AT157" s="10">
        <f>IFERROR(XIRR($AS$125:$AS157,$D$125:$D157),-100%)</f>
        <v>-1</v>
      </c>
      <c r="AU157" s="300">
        <v>0</v>
      </c>
      <c r="AV157" s="130" t="e">
        <f t="shared" si="30"/>
        <v>#DIV/0!</v>
      </c>
      <c r="AW157" s="131">
        <f>IFERROR(XIRR($AV$125:$AV157,$D$125:$D157),-100%)</f>
        <v>-1</v>
      </c>
      <c r="AX157" s="213">
        <f t="shared" si="45"/>
        <v>0</v>
      </c>
      <c r="AY157" s="200" t="e">
        <f t="shared" si="31"/>
        <v>#DIV/0!</v>
      </c>
      <c r="AZ157" s="159">
        <f t="shared" si="32"/>
        <v>0</v>
      </c>
      <c r="BA157" s="148" t="e">
        <f t="shared" si="46"/>
        <v>#NUM!</v>
      </c>
      <c r="BB157" s="6" t="e">
        <f t="shared" si="33"/>
        <v>#NUM!</v>
      </c>
      <c r="BC157" s="6" t="e">
        <f t="shared" si="34"/>
        <v>#NUM!</v>
      </c>
      <c r="BD157" s="149" t="e">
        <f t="shared" si="35"/>
        <v>#NUM!</v>
      </c>
      <c r="BE157" s="148" t="e">
        <f t="shared" si="47"/>
        <v>#NUM!</v>
      </c>
      <c r="BF157" s="6" t="e">
        <f t="shared" si="36"/>
        <v>#NUM!</v>
      </c>
      <c r="BG157" s="6" t="e">
        <f t="shared" si="37"/>
        <v>#DIV/0!</v>
      </c>
      <c r="BH157" s="6" t="e">
        <f t="shared" si="48"/>
        <v>#NUM!</v>
      </c>
      <c r="BI157" s="138" t="e">
        <f t="shared" si="38"/>
        <v>#DIV/0!</v>
      </c>
    </row>
    <row r="158" spans="1:61" x14ac:dyDescent="0.25">
      <c r="A158"/>
      <c r="B158" s="9">
        <f t="shared" si="50"/>
        <v>3</v>
      </c>
      <c r="C158" s="13">
        <v>33</v>
      </c>
      <c r="D158" s="12">
        <f t="shared" si="39"/>
        <v>1035</v>
      </c>
      <c r="E158" s="6">
        <f>INDEX(GC!$G$25:$G$144,MATCH($D158,GC!$C$25:$C$144,0))</f>
        <v>0</v>
      </c>
      <c r="F158" s="6">
        <f>INDEX(GC!$I$25:$I$144,MATCH($D158,GC!$C$25:$C$144,0))</f>
        <v>0</v>
      </c>
      <c r="G158" s="6">
        <f t="shared" si="40"/>
        <v>0</v>
      </c>
      <c r="H158" s="6">
        <f t="shared" si="2"/>
        <v>0</v>
      </c>
      <c r="I158" s="6">
        <f t="shared" si="51"/>
        <v>0</v>
      </c>
      <c r="J158" s="6">
        <f>IF(SUM($I$126:I158)&gt;$E$61, SUM($I$126:I158)-SUM($J$125:J157)-$E$61,0)</f>
        <v>0</v>
      </c>
      <c r="K158" s="6" t="e">
        <f t="shared" si="3"/>
        <v>#DIV/0!</v>
      </c>
      <c r="L158" s="6" t="e">
        <f t="shared" si="4"/>
        <v>#DIV/0!</v>
      </c>
      <c r="M158" s="6" t="e">
        <f t="shared" si="5"/>
        <v>#DIV/0!</v>
      </c>
      <c r="N158" s="6">
        <f t="shared" si="6"/>
        <v>0</v>
      </c>
      <c r="O158" s="6">
        <f t="shared" si="7"/>
        <v>0</v>
      </c>
      <c r="P158" s="6">
        <f t="shared" si="8"/>
        <v>0</v>
      </c>
      <c r="Q158" s="6">
        <f t="shared" si="9"/>
        <v>0</v>
      </c>
      <c r="R158" s="6" t="e">
        <f t="shared" si="41"/>
        <v>#DIV/0!</v>
      </c>
      <c r="S158" s="6" t="e">
        <f t="shared" si="10"/>
        <v>#DIV/0!</v>
      </c>
      <c r="T158" s="11" t="e">
        <f>SUM($R$126:R158)/($E$87)</f>
        <v>#DIV/0!</v>
      </c>
      <c r="U158" s="89" t="e">
        <f t="shared" si="11"/>
        <v>#DIV/0!</v>
      </c>
      <c r="V158" s="6" t="e">
        <f t="shared" si="12"/>
        <v>#DIV/0!</v>
      </c>
      <c r="W158" s="6" t="e">
        <f t="shared" si="42"/>
        <v>#DIV/0!</v>
      </c>
      <c r="X158" s="6" t="e">
        <f t="shared" si="13"/>
        <v>#DIV/0!</v>
      </c>
      <c r="Y158" s="6" t="e">
        <f t="shared" si="14"/>
        <v>#DIV/0!</v>
      </c>
      <c r="Z158" s="90" t="e">
        <f t="shared" si="15"/>
        <v>#DIV/0!</v>
      </c>
      <c r="AA158" s="89" t="e">
        <f t="shared" si="16"/>
        <v>#DIV/0!</v>
      </c>
      <c r="AB158" s="6" t="e">
        <f t="shared" si="17"/>
        <v>#DIV/0!</v>
      </c>
      <c r="AC158" s="6" t="e">
        <f t="shared" ref="AC158:AC189" si="52">BB158-SUM(J158:P158)-U158</f>
        <v>#NUM!</v>
      </c>
      <c r="AD158" s="90" t="e">
        <f t="shared" si="19"/>
        <v>#NUM!</v>
      </c>
      <c r="AE158" s="6" t="e">
        <f t="shared" si="20"/>
        <v>#DIV/0!</v>
      </c>
      <c r="AF158" s="6" t="e">
        <f>IF(SUM(AE159:$AE$245)-SUM(AJ159:$AK$245,AN159:$AN$245)&gt;$E$42,0,IF(SUM($AF$125:AF157)=0,$E$42-(SUM(AE159:$AE$245)-SUM(AJ159:$AK$245,AN159:$AN$245)),AE158-SUM(AJ158:AK158,AN158)))</f>
        <v>#DIV/0!</v>
      </c>
      <c r="AG158" s="89" t="e">
        <f t="shared" si="21"/>
        <v>#DIV/0!</v>
      </c>
      <c r="AH158" s="6" t="e">
        <f t="shared" si="43"/>
        <v>#DIV/0!</v>
      </c>
      <c r="AI158" s="6" t="e">
        <f t="shared" si="22"/>
        <v>#DIV/0!</v>
      </c>
      <c r="AJ158" s="6">
        <f t="shared" si="23"/>
        <v>0</v>
      </c>
      <c r="AK158" s="90">
        <f t="shared" si="24"/>
        <v>0</v>
      </c>
      <c r="AL158" s="6" t="e">
        <f t="shared" si="25"/>
        <v>#DIV/0!</v>
      </c>
      <c r="AM158" s="6" t="e">
        <f t="shared" si="44"/>
        <v>#NUM!</v>
      </c>
      <c r="AN158" s="6">
        <f t="shared" si="26"/>
        <v>0</v>
      </c>
      <c r="AO158" s="6" t="e">
        <f t="shared" si="27"/>
        <v>#DIV/0!</v>
      </c>
      <c r="AP158" s="15">
        <f>IFERROR(XIRR($AO$125:AO158,$D$125:D158),-100%)</f>
        <v>-1</v>
      </c>
      <c r="AQ158" s="129" t="e">
        <f t="shared" si="28"/>
        <v>#NUM!</v>
      </c>
      <c r="AR158" s="300">
        <v>0</v>
      </c>
      <c r="AS158" s="130" t="e">
        <f t="shared" ref="AS158:AS189" si="53">AO158-AR158</f>
        <v>#DIV/0!</v>
      </c>
      <c r="AT158" s="10">
        <f>IFERROR(XIRR($AS$125:$AS158,$D$125:$D158),-100%)</f>
        <v>-1</v>
      </c>
      <c r="AU158" s="300">
        <v>0</v>
      </c>
      <c r="AV158" s="130" t="e">
        <f t="shared" ref="AV158:AV189" si="54">AS158-AU158</f>
        <v>#DIV/0!</v>
      </c>
      <c r="AW158" s="131">
        <f>IFERROR(XIRR($AV$125:$AV158,$D$125:$D158),-100%)</f>
        <v>-1</v>
      </c>
      <c r="AX158" s="213">
        <f t="shared" si="45"/>
        <v>0</v>
      </c>
      <c r="AY158" s="200" t="e">
        <f t="shared" ref="AY158:AY189" si="55">IF(AO158=0,0,AR158/AO158)</f>
        <v>#DIV/0!</v>
      </c>
      <c r="AZ158" s="159">
        <f t="shared" ref="AZ158:AZ189" si="56">H158</f>
        <v>0</v>
      </c>
      <c r="BA158" s="148" t="e">
        <f t="shared" si="46"/>
        <v>#NUM!</v>
      </c>
      <c r="BB158" s="6" t="e">
        <f t="shared" ref="BB158:BB189" si="57">BA158*((1+$N$7)^(D158-D157)-1)</f>
        <v>#NUM!</v>
      </c>
      <c r="BC158" s="6" t="e">
        <f t="shared" ref="BC158:BC189" si="58">H158-BB158</f>
        <v>#NUM!</v>
      </c>
      <c r="BD158" s="149" t="e">
        <f t="shared" si="35"/>
        <v>#NUM!</v>
      </c>
      <c r="BE158" s="148" t="e">
        <f t="shared" si="47"/>
        <v>#NUM!</v>
      </c>
      <c r="BF158" s="6" t="e">
        <f t="shared" ref="BF158:BF189" si="59">BE158*((1+$Q$7)^(D158-D157)-1)</f>
        <v>#NUM!</v>
      </c>
      <c r="BG158" s="6" t="e">
        <f t="shared" ref="BG158:BG189" si="60">AL158-BF158</f>
        <v>#DIV/0!</v>
      </c>
      <c r="BH158" s="6" t="e">
        <f t="shared" si="48"/>
        <v>#NUM!</v>
      </c>
      <c r="BI158" s="138" t="e">
        <f t="shared" ref="BI158:BI189" si="61">IF(T157&gt;$E$28,2,IF(T157&gt;$E$26,1,0))</f>
        <v>#DIV/0!</v>
      </c>
    </row>
    <row r="159" spans="1:61" x14ac:dyDescent="0.25">
      <c r="A159"/>
      <c r="B159" s="9">
        <f t="shared" si="50"/>
        <v>3</v>
      </c>
      <c r="C159" s="13">
        <v>34</v>
      </c>
      <c r="D159" s="12">
        <f t="shared" si="39"/>
        <v>1065</v>
      </c>
      <c r="E159" s="6">
        <f>INDEX(GC!$G$25:$G$144,MATCH($D159,GC!$C$25:$C$144,0))</f>
        <v>0</v>
      </c>
      <c r="F159" s="6">
        <f>INDEX(GC!$I$25:$I$144,MATCH($D159,GC!$C$25:$C$144,0))</f>
        <v>0</v>
      </c>
      <c r="G159" s="6">
        <f t="shared" si="40"/>
        <v>0</v>
      </c>
      <c r="H159" s="6">
        <f t="shared" si="2"/>
        <v>0</v>
      </c>
      <c r="I159" s="6">
        <f t="shared" si="51"/>
        <v>0</v>
      </c>
      <c r="J159" s="6">
        <f>IF(SUM($I$126:I159)&gt;$E$61, SUM($I$126:I159)-SUM($J$125:J158)-$E$61,0)</f>
        <v>0</v>
      </c>
      <c r="K159" s="6" t="e">
        <f t="shared" si="3"/>
        <v>#DIV/0!</v>
      </c>
      <c r="L159" s="6" t="e">
        <f t="shared" si="4"/>
        <v>#DIV/0!</v>
      </c>
      <c r="M159" s="6" t="e">
        <f t="shared" si="5"/>
        <v>#DIV/0!</v>
      </c>
      <c r="N159" s="6">
        <f t="shared" si="6"/>
        <v>0</v>
      </c>
      <c r="O159" s="6">
        <f t="shared" si="7"/>
        <v>0</v>
      </c>
      <c r="P159" s="6">
        <f t="shared" si="8"/>
        <v>0</v>
      </c>
      <c r="Q159" s="6">
        <f t="shared" si="9"/>
        <v>0</v>
      </c>
      <c r="R159" s="6" t="e">
        <f t="shared" si="41"/>
        <v>#DIV/0!</v>
      </c>
      <c r="S159" s="6" t="e">
        <f t="shared" si="10"/>
        <v>#DIV/0!</v>
      </c>
      <c r="T159" s="11" t="e">
        <f>SUM($R$126:R159)/($E$87)</f>
        <v>#DIV/0!</v>
      </c>
      <c r="U159" s="89" t="e">
        <f t="shared" si="11"/>
        <v>#DIV/0!</v>
      </c>
      <c r="V159" s="6" t="e">
        <f t="shared" si="12"/>
        <v>#DIV/0!</v>
      </c>
      <c r="W159" s="6" t="e">
        <f t="shared" si="42"/>
        <v>#DIV/0!</v>
      </c>
      <c r="X159" s="6" t="e">
        <f t="shared" si="13"/>
        <v>#DIV/0!</v>
      </c>
      <c r="Y159" s="6" t="e">
        <f t="shared" si="14"/>
        <v>#DIV/0!</v>
      </c>
      <c r="Z159" s="90" t="e">
        <f t="shared" si="15"/>
        <v>#DIV/0!</v>
      </c>
      <c r="AA159" s="89" t="e">
        <f t="shared" si="16"/>
        <v>#DIV/0!</v>
      </c>
      <c r="AB159" s="6" t="e">
        <f t="shared" si="17"/>
        <v>#DIV/0!</v>
      </c>
      <c r="AC159" s="6" t="e">
        <f t="shared" si="52"/>
        <v>#NUM!</v>
      </c>
      <c r="AD159" s="90" t="e">
        <f t="shared" si="19"/>
        <v>#NUM!</v>
      </c>
      <c r="AE159" s="6" t="e">
        <f t="shared" si="20"/>
        <v>#DIV/0!</v>
      </c>
      <c r="AF159" s="6" t="e">
        <f>IF(SUM(AE160:$AE$245)-SUM(AJ160:$AK$245,AN160:$AN$245)&gt;$E$42,0,IF(SUM($AF$125:AF158)=0,$E$42-(SUM(AE160:$AE$245)-SUM(AJ160:$AK$245,AN160:$AN$245)),AE159-SUM(AJ159:AK159,AN159)))</f>
        <v>#DIV/0!</v>
      </c>
      <c r="AG159" s="89" t="e">
        <f t="shared" si="21"/>
        <v>#DIV/0!</v>
      </c>
      <c r="AH159" s="6" t="e">
        <f t="shared" si="43"/>
        <v>#DIV/0!</v>
      </c>
      <c r="AI159" s="6" t="e">
        <f t="shared" si="22"/>
        <v>#DIV/0!</v>
      </c>
      <c r="AJ159" s="6">
        <f t="shared" si="23"/>
        <v>0</v>
      </c>
      <c r="AK159" s="90">
        <f t="shared" si="24"/>
        <v>0</v>
      </c>
      <c r="AL159" s="6" t="e">
        <f t="shared" si="25"/>
        <v>#DIV/0!</v>
      </c>
      <c r="AM159" s="6" t="e">
        <f t="shared" si="44"/>
        <v>#NUM!</v>
      </c>
      <c r="AN159" s="6">
        <f t="shared" si="26"/>
        <v>0</v>
      </c>
      <c r="AO159" s="6" t="e">
        <f t="shared" si="27"/>
        <v>#DIV/0!</v>
      </c>
      <c r="AP159" s="15">
        <f>IFERROR(XIRR($AO$125:AO159,$D$125:D159),-100%)</f>
        <v>-1</v>
      </c>
      <c r="AQ159" s="129" t="e">
        <f t="shared" si="28"/>
        <v>#NUM!</v>
      </c>
      <c r="AR159" s="300">
        <v>0</v>
      </c>
      <c r="AS159" s="130" t="e">
        <f t="shared" si="53"/>
        <v>#DIV/0!</v>
      </c>
      <c r="AT159" s="10">
        <f>IFERROR(XIRR($AS$125:$AS159,$D$125:$D159),-100%)</f>
        <v>-1</v>
      </c>
      <c r="AU159" s="300">
        <v>0</v>
      </c>
      <c r="AV159" s="130" t="e">
        <f t="shared" si="54"/>
        <v>#DIV/0!</v>
      </c>
      <c r="AW159" s="131">
        <f>IFERROR(XIRR($AV$125:$AV159,$D$125:$D159),-100%)</f>
        <v>-1</v>
      </c>
      <c r="AX159" s="213">
        <f t="shared" si="45"/>
        <v>0</v>
      </c>
      <c r="AY159" s="200" t="e">
        <f t="shared" si="55"/>
        <v>#DIV/0!</v>
      </c>
      <c r="AZ159" s="159">
        <f t="shared" si="56"/>
        <v>0</v>
      </c>
      <c r="BA159" s="148" t="e">
        <f t="shared" si="46"/>
        <v>#NUM!</v>
      </c>
      <c r="BB159" s="6" t="e">
        <f t="shared" si="57"/>
        <v>#NUM!</v>
      </c>
      <c r="BC159" s="6" t="e">
        <f t="shared" si="58"/>
        <v>#NUM!</v>
      </c>
      <c r="BD159" s="149" t="e">
        <f t="shared" si="35"/>
        <v>#NUM!</v>
      </c>
      <c r="BE159" s="148" t="e">
        <f t="shared" si="47"/>
        <v>#NUM!</v>
      </c>
      <c r="BF159" s="6" t="e">
        <f t="shared" si="59"/>
        <v>#NUM!</v>
      </c>
      <c r="BG159" s="6" t="e">
        <f t="shared" si="60"/>
        <v>#DIV/0!</v>
      </c>
      <c r="BH159" s="6" t="e">
        <f t="shared" si="48"/>
        <v>#NUM!</v>
      </c>
      <c r="BI159" s="138" t="e">
        <f t="shared" si="61"/>
        <v>#DIV/0!</v>
      </c>
    </row>
    <row r="160" spans="1:61" x14ac:dyDescent="0.25">
      <c r="A160"/>
      <c r="B160" s="9">
        <f t="shared" si="50"/>
        <v>3</v>
      </c>
      <c r="C160" s="13">
        <v>35</v>
      </c>
      <c r="D160" s="12">
        <f t="shared" si="39"/>
        <v>1096</v>
      </c>
      <c r="E160" s="6">
        <f>INDEX(GC!$G$25:$G$144,MATCH($D160,GC!$C$25:$C$144,0))</f>
        <v>0</v>
      </c>
      <c r="F160" s="6">
        <f>INDEX(GC!$I$25:$I$144,MATCH($D160,GC!$C$25:$C$144,0))</f>
        <v>0</v>
      </c>
      <c r="G160" s="6">
        <f t="shared" si="40"/>
        <v>0</v>
      </c>
      <c r="H160" s="6">
        <f t="shared" si="2"/>
        <v>0</v>
      </c>
      <c r="I160" s="6">
        <f t="shared" si="51"/>
        <v>0</v>
      </c>
      <c r="J160" s="6">
        <f>IF(SUM($I$126:I160)&gt;$E$61, SUM($I$126:I160)-SUM($J$125:J159)-$E$61,0)</f>
        <v>0</v>
      </c>
      <c r="K160" s="6" t="e">
        <f t="shared" si="3"/>
        <v>#DIV/0!</v>
      </c>
      <c r="L160" s="6" t="e">
        <f t="shared" si="4"/>
        <v>#DIV/0!</v>
      </c>
      <c r="M160" s="6" t="e">
        <f t="shared" si="5"/>
        <v>#DIV/0!</v>
      </c>
      <c r="N160" s="6">
        <f t="shared" si="6"/>
        <v>0</v>
      </c>
      <c r="O160" s="6">
        <f t="shared" si="7"/>
        <v>0</v>
      </c>
      <c r="P160" s="6">
        <f t="shared" si="8"/>
        <v>0</v>
      </c>
      <c r="Q160" s="6">
        <f t="shared" si="9"/>
        <v>0</v>
      </c>
      <c r="R160" s="6" t="e">
        <f t="shared" si="41"/>
        <v>#DIV/0!</v>
      </c>
      <c r="S160" s="6" t="e">
        <f t="shared" si="10"/>
        <v>#DIV/0!</v>
      </c>
      <c r="T160" s="11" t="e">
        <f>SUM($R$126:R160)/($E$87)</f>
        <v>#DIV/0!</v>
      </c>
      <c r="U160" s="89" t="e">
        <f t="shared" si="11"/>
        <v>#DIV/0!</v>
      </c>
      <c r="V160" s="6" t="e">
        <f t="shared" si="12"/>
        <v>#DIV/0!</v>
      </c>
      <c r="W160" s="6" t="e">
        <f t="shared" si="42"/>
        <v>#DIV/0!</v>
      </c>
      <c r="X160" s="6" t="e">
        <f t="shared" si="13"/>
        <v>#DIV/0!</v>
      </c>
      <c r="Y160" s="6" t="e">
        <f t="shared" si="14"/>
        <v>#DIV/0!</v>
      </c>
      <c r="Z160" s="90" t="e">
        <f t="shared" si="15"/>
        <v>#DIV/0!</v>
      </c>
      <c r="AA160" s="89" t="e">
        <f t="shared" si="16"/>
        <v>#DIV/0!</v>
      </c>
      <c r="AB160" s="6" t="e">
        <f t="shared" si="17"/>
        <v>#DIV/0!</v>
      </c>
      <c r="AC160" s="6" t="e">
        <f t="shared" si="52"/>
        <v>#NUM!</v>
      </c>
      <c r="AD160" s="90" t="e">
        <f t="shared" si="19"/>
        <v>#NUM!</v>
      </c>
      <c r="AE160" s="6" t="e">
        <f t="shared" si="20"/>
        <v>#DIV/0!</v>
      </c>
      <c r="AF160" s="6" t="e">
        <f>IF(SUM(AE161:$AE$245)-SUM(AJ161:$AK$245,AN161:$AN$245)&gt;$E$42,0,IF(SUM($AF$125:AF159)=0,$E$42-(SUM(AE161:$AE$245)-SUM(AJ161:$AK$245,AN161:$AN$245)),AE160-SUM(AJ160:AK160,AN160)))</f>
        <v>#DIV/0!</v>
      </c>
      <c r="AG160" s="89" t="e">
        <f t="shared" si="21"/>
        <v>#DIV/0!</v>
      </c>
      <c r="AH160" s="6" t="e">
        <f t="shared" si="43"/>
        <v>#DIV/0!</v>
      </c>
      <c r="AI160" s="6" t="e">
        <f t="shared" si="22"/>
        <v>#DIV/0!</v>
      </c>
      <c r="AJ160" s="6">
        <f t="shared" si="23"/>
        <v>0</v>
      </c>
      <c r="AK160" s="90">
        <f t="shared" si="24"/>
        <v>0</v>
      </c>
      <c r="AL160" s="6" t="e">
        <f t="shared" si="25"/>
        <v>#DIV/0!</v>
      </c>
      <c r="AM160" s="6" t="e">
        <f t="shared" si="44"/>
        <v>#NUM!</v>
      </c>
      <c r="AN160" s="6">
        <f t="shared" si="26"/>
        <v>0</v>
      </c>
      <c r="AO160" s="6" t="e">
        <f t="shared" si="27"/>
        <v>#DIV/0!</v>
      </c>
      <c r="AP160" s="15">
        <f>IFERROR(XIRR($AO$125:AO160,$D$125:D160),-100%)</f>
        <v>-1</v>
      </c>
      <c r="AQ160" s="129" t="e">
        <f t="shared" si="28"/>
        <v>#NUM!</v>
      </c>
      <c r="AR160" s="300">
        <v>0</v>
      </c>
      <c r="AS160" s="130" t="e">
        <f t="shared" si="53"/>
        <v>#DIV/0!</v>
      </c>
      <c r="AT160" s="10">
        <f>IFERROR(XIRR($AS$125:$AS160,$D$125:$D160),-100%)</f>
        <v>-1</v>
      </c>
      <c r="AU160" s="300">
        <v>0</v>
      </c>
      <c r="AV160" s="130" t="e">
        <f t="shared" si="54"/>
        <v>#DIV/0!</v>
      </c>
      <c r="AW160" s="131">
        <f>IFERROR(XIRR($AV$125:$AV160,$D$125:$D160),-100%)</f>
        <v>-1</v>
      </c>
      <c r="AX160" s="213">
        <f t="shared" si="45"/>
        <v>0</v>
      </c>
      <c r="AY160" s="200" t="e">
        <f t="shared" si="55"/>
        <v>#DIV/0!</v>
      </c>
      <c r="AZ160" s="159">
        <f t="shared" si="56"/>
        <v>0</v>
      </c>
      <c r="BA160" s="148" t="e">
        <f t="shared" si="46"/>
        <v>#NUM!</v>
      </c>
      <c r="BB160" s="6" t="e">
        <f t="shared" si="57"/>
        <v>#NUM!</v>
      </c>
      <c r="BC160" s="6" t="e">
        <f t="shared" si="58"/>
        <v>#NUM!</v>
      </c>
      <c r="BD160" s="149" t="e">
        <f t="shared" si="35"/>
        <v>#NUM!</v>
      </c>
      <c r="BE160" s="148" t="e">
        <f t="shared" si="47"/>
        <v>#NUM!</v>
      </c>
      <c r="BF160" s="6" t="e">
        <f t="shared" si="59"/>
        <v>#NUM!</v>
      </c>
      <c r="BG160" s="6" t="e">
        <f t="shared" si="60"/>
        <v>#DIV/0!</v>
      </c>
      <c r="BH160" s="6" t="e">
        <f t="shared" si="48"/>
        <v>#NUM!</v>
      </c>
      <c r="BI160" s="138" t="e">
        <f t="shared" si="61"/>
        <v>#DIV/0!</v>
      </c>
    </row>
    <row r="161" spans="1:61" x14ac:dyDescent="0.25">
      <c r="A161"/>
      <c r="B161" s="9">
        <f t="shared" si="50"/>
        <v>3</v>
      </c>
      <c r="C161" s="13">
        <v>36</v>
      </c>
      <c r="D161" s="12">
        <f t="shared" si="39"/>
        <v>1127</v>
      </c>
      <c r="E161" s="6">
        <f>INDEX(GC!$G$25:$G$144,MATCH($D161,GC!$C$25:$C$144,0))</f>
        <v>0</v>
      </c>
      <c r="F161" s="6">
        <f>INDEX(GC!$I$25:$I$144,MATCH($D161,GC!$C$25:$C$144,0))</f>
        <v>0</v>
      </c>
      <c r="G161" s="6">
        <f t="shared" si="40"/>
        <v>0</v>
      </c>
      <c r="H161" s="6">
        <f t="shared" si="2"/>
        <v>0</v>
      </c>
      <c r="I161" s="6">
        <f t="shared" si="51"/>
        <v>0</v>
      </c>
      <c r="J161" s="6">
        <f>IF(SUM($I$126:I161)&gt;$E$61, SUM($I$126:I161)-SUM($J$125:J160)-$E$61,0)</f>
        <v>0</v>
      </c>
      <c r="K161" s="6" t="e">
        <f t="shared" si="3"/>
        <v>#DIV/0!</v>
      </c>
      <c r="L161" s="6" t="e">
        <f t="shared" si="4"/>
        <v>#DIV/0!</v>
      </c>
      <c r="M161" s="6" t="e">
        <f t="shared" si="5"/>
        <v>#DIV/0!</v>
      </c>
      <c r="N161" s="6">
        <f t="shared" si="6"/>
        <v>0</v>
      </c>
      <c r="O161" s="6">
        <f t="shared" si="7"/>
        <v>0</v>
      </c>
      <c r="P161" s="6">
        <f t="shared" si="8"/>
        <v>0</v>
      </c>
      <c r="Q161" s="6">
        <f t="shared" si="9"/>
        <v>0</v>
      </c>
      <c r="R161" s="6" t="e">
        <f t="shared" si="41"/>
        <v>#DIV/0!</v>
      </c>
      <c r="S161" s="6" t="e">
        <f t="shared" si="10"/>
        <v>#DIV/0!</v>
      </c>
      <c r="T161" s="11" t="e">
        <f>SUM($R$126:R161)/($E$87)</f>
        <v>#DIV/0!</v>
      </c>
      <c r="U161" s="89" t="e">
        <f t="shared" si="11"/>
        <v>#DIV/0!</v>
      </c>
      <c r="V161" s="6" t="e">
        <f t="shared" si="12"/>
        <v>#DIV/0!</v>
      </c>
      <c r="W161" s="6" t="e">
        <f t="shared" si="42"/>
        <v>#DIV/0!</v>
      </c>
      <c r="X161" s="6" t="e">
        <f t="shared" si="13"/>
        <v>#DIV/0!</v>
      </c>
      <c r="Y161" s="6" t="e">
        <f t="shared" si="14"/>
        <v>#DIV/0!</v>
      </c>
      <c r="Z161" s="90" t="e">
        <f t="shared" si="15"/>
        <v>#DIV/0!</v>
      </c>
      <c r="AA161" s="89" t="e">
        <f t="shared" si="16"/>
        <v>#DIV/0!</v>
      </c>
      <c r="AB161" s="6" t="e">
        <f t="shared" si="17"/>
        <v>#DIV/0!</v>
      </c>
      <c r="AC161" s="6" t="e">
        <f t="shared" si="52"/>
        <v>#NUM!</v>
      </c>
      <c r="AD161" s="90" t="e">
        <f t="shared" si="19"/>
        <v>#NUM!</v>
      </c>
      <c r="AE161" s="6" t="e">
        <f t="shared" si="20"/>
        <v>#DIV/0!</v>
      </c>
      <c r="AF161" s="6" t="e">
        <f>IF(SUM(AE162:$AE$245)-SUM(AJ162:$AK$245,AN162:$AN$245)&gt;$E$42,0,IF(SUM($AF$125:AF160)=0,$E$42-(SUM(AE162:$AE$245)-SUM(AJ162:$AK$245,AN162:$AN$245)),AE161-SUM(AJ161:AK161,AN161)))</f>
        <v>#DIV/0!</v>
      </c>
      <c r="AG161" s="89" t="e">
        <f t="shared" si="21"/>
        <v>#DIV/0!</v>
      </c>
      <c r="AH161" s="6" t="e">
        <f t="shared" si="43"/>
        <v>#DIV/0!</v>
      </c>
      <c r="AI161" s="6" t="e">
        <f t="shared" si="22"/>
        <v>#DIV/0!</v>
      </c>
      <c r="AJ161" s="6">
        <f t="shared" si="23"/>
        <v>0</v>
      </c>
      <c r="AK161" s="90">
        <f t="shared" si="24"/>
        <v>0</v>
      </c>
      <c r="AL161" s="6" t="e">
        <f t="shared" si="25"/>
        <v>#DIV/0!</v>
      </c>
      <c r="AM161" s="6" t="e">
        <f t="shared" si="44"/>
        <v>#NUM!</v>
      </c>
      <c r="AN161" s="6">
        <f t="shared" si="26"/>
        <v>0</v>
      </c>
      <c r="AO161" s="6" t="e">
        <f t="shared" si="27"/>
        <v>#DIV/0!</v>
      </c>
      <c r="AP161" s="15">
        <f>IFERROR(XIRR($AO$125:AO161,$D$125:D161),-100%)</f>
        <v>-1</v>
      </c>
      <c r="AQ161" s="129" t="e">
        <f t="shared" si="28"/>
        <v>#NUM!</v>
      </c>
      <c r="AR161" s="300">
        <v>0</v>
      </c>
      <c r="AS161" s="130" t="e">
        <f t="shared" si="53"/>
        <v>#DIV/0!</v>
      </c>
      <c r="AT161" s="10">
        <f>IFERROR(XIRR($AS$125:$AS161,$D$125:$D161),-100%)</f>
        <v>-1</v>
      </c>
      <c r="AU161" s="300">
        <v>0</v>
      </c>
      <c r="AV161" s="130" t="e">
        <f t="shared" si="54"/>
        <v>#DIV/0!</v>
      </c>
      <c r="AW161" s="131">
        <f>IFERROR(XIRR($AV$125:$AV161,$D$125:$D161),-100%)</f>
        <v>-1</v>
      </c>
      <c r="AX161" s="213">
        <f t="shared" si="45"/>
        <v>0</v>
      </c>
      <c r="AY161" s="200" t="e">
        <f t="shared" si="55"/>
        <v>#DIV/0!</v>
      </c>
      <c r="AZ161" s="159">
        <f t="shared" si="56"/>
        <v>0</v>
      </c>
      <c r="BA161" s="148" t="e">
        <f t="shared" si="46"/>
        <v>#NUM!</v>
      </c>
      <c r="BB161" s="6" t="e">
        <f t="shared" si="57"/>
        <v>#NUM!</v>
      </c>
      <c r="BC161" s="6" t="e">
        <f t="shared" si="58"/>
        <v>#NUM!</v>
      </c>
      <c r="BD161" s="149" t="e">
        <f t="shared" si="35"/>
        <v>#NUM!</v>
      </c>
      <c r="BE161" s="148" t="e">
        <f t="shared" si="47"/>
        <v>#NUM!</v>
      </c>
      <c r="BF161" s="6" t="e">
        <f t="shared" si="59"/>
        <v>#NUM!</v>
      </c>
      <c r="BG161" s="6" t="e">
        <f t="shared" si="60"/>
        <v>#DIV/0!</v>
      </c>
      <c r="BH161" s="6" t="e">
        <f t="shared" si="48"/>
        <v>#NUM!</v>
      </c>
      <c r="BI161" s="138" t="e">
        <f t="shared" si="61"/>
        <v>#DIV/0!</v>
      </c>
    </row>
    <row r="162" spans="1:61" x14ac:dyDescent="0.25">
      <c r="A162"/>
      <c r="B162" s="9">
        <f t="shared" si="50"/>
        <v>4</v>
      </c>
      <c r="C162" s="13">
        <v>37</v>
      </c>
      <c r="D162" s="12">
        <f t="shared" si="39"/>
        <v>1155</v>
      </c>
      <c r="E162" s="6">
        <f>INDEX(GC!$G$25:$G$144,MATCH($D162,GC!$C$25:$C$144,0))</f>
        <v>0</v>
      </c>
      <c r="F162" s="6">
        <f>INDEX(GC!$I$25:$I$144,MATCH($D162,GC!$C$25:$C$144,0))</f>
        <v>0</v>
      </c>
      <c r="G162" s="6">
        <f t="shared" si="40"/>
        <v>0</v>
      </c>
      <c r="H162" s="6">
        <f t="shared" si="2"/>
        <v>0</v>
      </c>
      <c r="I162" s="6">
        <f t="shared" si="51"/>
        <v>0</v>
      </c>
      <c r="J162" s="6">
        <f>IF(SUM($I$126:I162)&gt;$E$61, SUM($I$126:I162)-SUM($J$125:J161)-$E$61,0)</f>
        <v>0</v>
      </c>
      <c r="K162" s="6" t="e">
        <f t="shared" si="3"/>
        <v>#DIV/0!</v>
      </c>
      <c r="L162" s="6" t="e">
        <f t="shared" si="4"/>
        <v>#DIV/0!</v>
      </c>
      <c r="M162" s="6" t="e">
        <f t="shared" si="5"/>
        <v>#DIV/0!</v>
      </c>
      <c r="N162" s="6">
        <f t="shared" si="6"/>
        <v>0</v>
      </c>
      <c r="O162" s="6">
        <f t="shared" si="7"/>
        <v>0</v>
      </c>
      <c r="P162" s="6">
        <f t="shared" si="8"/>
        <v>0</v>
      </c>
      <c r="Q162" s="6">
        <f t="shared" si="9"/>
        <v>0</v>
      </c>
      <c r="R162" s="6" t="e">
        <f t="shared" si="41"/>
        <v>#DIV/0!</v>
      </c>
      <c r="S162" s="6" t="e">
        <f t="shared" si="10"/>
        <v>#DIV/0!</v>
      </c>
      <c r="T162" s="11" t="e">
        <f>SUM($R$126:R162)/($E$87)</f>
        <v>#DIV/0!</v>
      </c>
      <c r="U162" s="89" t="e">
        <f t="shared" si="11"/>
        <v>#DIV/0!</v>
      </c>
      <c r="V162" s="6" t="e">
        <f t="shared" si="12"/>
        <v>#DIV/0!</v>
      </c>
      <c r="W162" s="6" t="e">
        <f t="shared" si="42"/>
        <v>#DIV/0!</v>
      </c>
      <c r="X162" s="6" t="e">
        <f t="shared" si="13"/>
        <v>#DIV/0!</v>
      </c>
      <c r="Y162" s="6" t="e">
        <f t="shared" si="14"/>
        <v>#DIV/0!</v>
      </c>
      <c r="Z162" s="90" t="e">
        <f t="shared" si="15"/>
        <v>#DIV/0!</v>
      </c>
      <c r="AA162" s="89" t="e">
        <f t="shared" si="16"/>
        <v>#DIV/0!</v>
      </c>
      <c r="AB162" s="6" t="e">
        <f t="shared" si="17"/>
        <v>#DIV/0!</v>
      </c>
      <c r="AC162" s="6" t="e">
        <f t="shared" si="52"/>
        <v>#NUM!</v>
      </c>
      <c r="AD162" s="90" t="e">
        <f t="shared" si="19"/>
        <v>#NUM!</v>
      </c>
      <c r="AE162" s="6" t="e">
        <f t="shared" si="20"/>
        <v>#DIV/0!</v>
      </c>
      <c r="AF162" s="6" t="e">
        <f>IF(SUM(AE163:$AE$245)-SUM(AJ163:$AK$245,AN163:$AN$245)&gt;$E$42,0,IF(SUM($AF$125:AF161)=0,$E$42-(SUM(AE163:$AE$245)-SUM(AJ163:$AK$245,AN163:$AN$245)),AE162-SUM(AJ162:AK162,AN162)))</f>
        <v>#DIV/0!</v>
      </c>
      <c r="AG162" s="89" t="e">
        <f t="shared" si="21"/>
        <v>#DIV/0!</v>
      </c>
      <c r="AH162" s="6" t="e">
        <f t="shared" si="43"/>
        <v>#DIV/0!</v>
      </c>
      <c r="AI162" s="6" t="e">
        <f t="shared" si="22"/>
        <v>#DIV/0!</v>
      </c>
      <c r="AJ162" s="6">
        <f t="shared" si="23"/>
        <v>0</v>
      </c>
      <c r="AK162" s="90">
        <f t="shared" si="24"/>
        <v>0</v>
      </c>
      <c r="AL162" s="6" t="e">
        <f t="shared" si="25"/>
        <v>#DIV/0!</v>
      </c>
      <c r="AM162" s="6" t="e">
        <f t="shared" si="44"/>
        <v>#NUM!</v>
      </c>
      <c r="AN162" s="6">
        <f t="shared" si="26"/>
        <v>0</v>
      </c>
      <c r="AO162" s="6" t="e">
        <f t="shared" si="27"/>
        <v>#DIV/0!</v>
      </c>
      <c r="AP162" s="15">
        <f>IFERROR(XIRR($AO$125:AO162,$D$125:D162),-100%)</f>
        <v>-1</v>
      </c>
      <c r="AQ162" s="129" t="e">
        <f t="shared" si="28"/>
        <v>#NUM!</v>
      </c>
      <c r="AR162" s="300">
        <v>0</v>
      </c>
      <c r="AS162" s="130" t="e">
        <f t="shared" si="53"/>
        <v>#DIV/0!</v>
      </c>
      <c r="AT162" s="10">
        <f>IFERROR(XIRR($AS$125:$AS162,$D$125:$D162),-100%)</f>
        <v>-1</v>
      </c>
      <c r="AU162" s="300">
        <v>0</v>
      </c>
      <c r="AV162" s="130" t="e">
        <f t="shared" si="54"/>
        <v>#DIV/0!</v>
      </c>
      <c r="AW162" s="131">
        <f>IFERROR(XIRR($AV$125:$AV162,$D$125:$D162),-100%)</f>
        <v>-1</v>
      </c>
      <c r="AX162" s="213">
        <f t="shared" si="45"/>
        <v>0</v>
      </c>
      <c r="AY162" s="200" t="e">
        <f t="shared" si="55"/>
        <v>#DIV/0!</v>
      </c>
      <c r="AZ162" s="159">
        <f t="shared" si="56"/>
        <v>0</v>
      </c>
      <c r="BA162" s="148" t="e">
        <f t="shared" si="46"/>
        <v>#NUM!</v>
      </c>
      <c r="BB162" s="6" t="e">
        <f t="shared" si="57"/>
        <v>#NUM!</v>
      </c>
      <c r="BC162" s="6" t="e">
        <f t="shared" si="58"/>
        <v>#NUM!</v>
      </c>
      <c r="BD162" s="149" t="e">
        <f t="shared" si="35"/>
        <v>#NUM!</v>
      </c>
      <c r="BE162" s="148" t="e">
        <f t="shared" si="47"/>
        <v>#NUM!</v>
      </c>
      <c r="BF162" s="6" t="e">
        <f t="shared" si="59"/>
        <v>#NUM!</v>
      </c>
      <c r="BG162" s="6" t="e">
        <f t="shared" si="60"/>
        <v>#DIV/0!</v>
      </c>
      <c r="BH162" s="6" t="e">
        <f t="shared" si="48"/>
        <v>#NUM!</v>
      </c>
      <c r="BI162" s="138" t="e">
        <f t="shared" si="61"/>
        <v>#DIV/0!</v>
      </c>
    </row>
    <row r="163" spans="1:61" x14ac:dyDescent="0.25">
      <c r="A163"/>
      <c r="B163" s="9">
        <f t="shared" si="50"/>
        <v>4</v>
      </c>
      <c r="C163" s="13">
        <v>38</v>
      </c>
      <c r="D163" s="12">
        <f t="shared" si="39"/>
        <v>1186</v>
      </c>
      <c r="E163" s="6">
        <f>INDEX(GC!$G$25:$G$144,MATCH($D163,GC!$C$25:$C$144,0))</f>
        <v>0</v>
      </c>
      <c r="F163" s="6">
        <f>INDEX(GC!$I$25:$I$144,MATCH($D163,GC!$C$25:$C$144,0))</f>
        <v>0</v>
      </c>
      <c r="G163" s="6">
        <f t="shared" si="40"/>
        <v>0</v>
      </c>
      <c r="H163" s="6">
        <f t="shared" si="2"/>
        <v>0</v>
      </c>
      <c r="I163" s="6">
        <f t="shared" si="51"/>
        <v>0</v>
      </c>
      <c r="J163" s="6">
        <f>IF(SUM($I$126:I163)&gt;$E$61, SUM($I$126:I163)-SUM($J$125:J162)-$E$61,0)</f>
        <v>0</v>
      </c>
      <c r="K163" s="6" t="e">
        <f t="shared" si="3"/>
        <v>#DIV/0!</v>
      </c>
      <c r="L163" s="6" t="e">
        <f t="shared" si="4"/>
        <v>#DIV/0!</v>
      </c>
      <c r="M163" s="6" t="e">
        <f t="shared" si="5"/>
        <v>#DIV/0!</v>
      </c>
      <c r="N163" s="6">
        <f t="shared" si="6"/>
        <v>0</v>
      </c>
      <c r="O163" s="6">
        <f t="shared" si="7"/>
        <v>0</v>
      </c>
      <c r="P163" s="6">
        <f t="shared" si="8"/>
        <v>0</v>
      </c>
      <c r="Q163" s="6">
        <f t="shared" si="9"/>
        <v>0</v>
      </c>
      <c r="R163" s="6" t="e">
        <f t="shared" si="41"/>
        <v>#DIV/0!</v>
      </c>
      <c r="S163" s="6" t="e">
        <f t="shared" si="10"/>
        <v>#DIV/0!</v>
      </c>
      <c r="T163" s="11" t="e">
        <f>SUM($R$126:R163)/($E$87)</f>
        <v>#DIV/0!</v>
      </c>
      <c r="U163" s="89" t="e">
        <f t="shared" si="11"/>
        <v>#DIV/0!</v>
      </c>
      <c r="V163" s="6" t="e">
        <f t="shared" si="12"/>
        <v>#DIV/0!</v>
      </c>
      <c r="W163" s="6" t="e">
        <f t="shared" si="42"/>
        <v>#DIV/0!</v>
      </c>
      <c r="X163" s="6" t="e">
        <f t="shared" si="13"/>
        <v>#DIV/0!</v>
      </c>
      <c r="Y163" s="6" t="e">
        <f t="shared" si="14"/>
        <v>#DIV/0!</v>
      </c>
      <c r="Z163" s="90" t="e">
        <f t="shared" si="15"/>
        <v>#DIV/0!</v>
      </c>
      <c r="AA163" s="89" t="e">
        <f t="shared" si="16"/>
        <v>#DIV/0!</v>
      </c>
      <c r="AB163" s="6" t="e">
        <f t="shared" si="17"/>
        <v>#DIV/0!</v>
      </c>
      <c r="AC163" s="6" t="e">
        <f t="shared" si="52"/>
        <v>#NUM!</v>
      </c>
      <c r="AD163" s="90" t="e">
        <f t="shared" si="19"/>
        <v>#NUM!</v>
      </c>
      <c r="AE163" s="6" t="e">
        <f t="shared" si="20"/>
        <v>#DIV/0!</v>
      </c>
      <c r="AF163" s="6" t="e">
        <f>IF(SUM(AE164:$AE$245)-SUM(AJ164:$AK$245,AN164:$AN$245)&gt;$E$42,0,IF(SUM($AF$125:AF162)=0,$E$42-(SUM(AE164:$AE$245)-SUM(AJ164:$AK$245,AN164:$AN$245)),AE163-SUM(AJ163:AK163,AN163)))</f>
        <v>#DIV/0!</v>
      </c>
      <c r="AG163" s="89" t="e">
        <f t="shared" si="21"/>
        <v>#DIV/0!</v>
      </c>
      <c r="AH163" s="6" t="e">
        <f t="shared" si="43"/>
        <v>#DIV/0!</v>
      </c>
      <c r="AI163" s="6" t="e">
        <f t="shared" si="22"/>
        <v>#DIV/0!</v>
      </c>
      <c r="AJ163" s="6">
        <f t="shared" si="23"/>
        <v>0</v>
      </c>
      <c r="AK163" s="90">
        <f t="shared" si="24"/>
        <v>0</v>
      </c>
      <c r="AL163" s="6" t="e">
        <f t="shared" si="25"/>
        <v>#DIV/0!</v>
      </c>
      <c r="AM163" s="6" t="e">
        <f t="shared" si="44"/>
        <v>#NUM!</v>
      </c>
      <c r="AN163" s="6">
        <f t="shared" si="26"/>
        <v>0</v>
      </c>
      <c r="AO163" s="6" t="e">
        <f t="shared" si="27"/>
        <v>#DIV/0!</v>
      </c>
      <c r="AP163" s="15">
        <f>IFERROR(XIRR($AO$125:AO163,$D$125:D163),-100%)</f>
        <v>-1</v>
      </c>
      <c r="AQ163" s="129" t="e">
        <f t="shared" si="28"/>
        <v>#NUM!</v>
      </c>
      <c r="AR163" s="300">
        <v>0</v>
      </c>
      <c r="AS163" s="130" t="e">
        <f t="shared" si="53"/>
        <v>#DIV/0!</v>
      </c>
      <c r="AT163" s="10">
        <f>IFERROR(XIRR($AS$125:$AS163,$D$125:$D163),-100%)</f>
        <v>-1</v>
      </c>
      <c r="AU163" s="300">
        <v>0</v>
      </c>
      <c r="AV163" s="130" t="e">
        <f t="shared" si="54"/>
        <v>#DIV/0!</v>
      </c>
      <c r="AW163" s="131">
        <f>IFERROR(XIRR($AV$125:$AV163,$D$125:$D163),-100%)</f>
        <v>-1</v>
      </c>
      <c r="AX163" s="213">
        <f t="shared" si="45"/>
        <v>0</v>
      </c>
      <c r="AY163" s="200" t="e">
        <f t="shared" si="55"/>
        <v>#DIV/0!</v>
      </c>
      <c r="AZ163" s="159">
        <f t="shared" si="56"/>
        <v>0</v>
      </c>
      <c r="BA163" s="148" t="e">
        <f t="shared" si="46"/>
        <v>#NUM!</v>
      </c>
      <c r="BB163" s="6" t="e">
        <f t="shared" si="57"/>
        <v>#NUM!</v>
      </c>
      <c r="BC163" s="6" t="e">
        <f t="shared" si="58"/>
        <v>#NUM!</v>
      </c>
      <c r="BD163" s="149" t="e">
        <f t="shared" si="35"/>
        <v>#NUM!</v>
      </c>
      <c r="BE163" s="148" t="e">
        <f t="shared" si="47"/>
        <v>#NUM!</v>
      </c>
      <c r="BF163" s="6" t="e">
        <f t="shared" si="59"/>
        <v>#NUM!</v>
      </c>
      <c r="BG163" s="6" t="e">
        <f t="shared" si="60"/>
        <v>#DIV/0!</v>
      </c>
      <c r="BH163" s="6" t="e">
        <f t="shared" si="48"/>
        <v>#NUM!</v>
      </c>
      <c r="BI163" s="138" t="e">
        <f t="shared" si="61"/>
        <v>#DIV/0!</v>
      </c>
    </row>
    <row r="164" spans="1:61" ht="15.75" customHeight="1" x14ac:dyDescent="0.25">
      <c r="A164"/>
      <c r="B164" s="9">
        <f t="shared" si="50"/>
        <v>4</v>
      </c>
      <c r="C164" s="13">
        <v>39</v>
      </c>
      <c r="D164" s="12">
        <f t="shared" si="39"/>
        <v>1216</v>
      </c>
      <c r="E164" s="6">
        <f>INDEX(GC!$G$25:$G$144,MATCH($D164,GC!$C$25:$C$144,0))</f>
        <v>0</v>
      </c>
      <c r="F164" s="6">
        <f>INDEX(GC!$I$25:$I$144,MATCH($D164,GC!$C$25:$C$144,0))</f>
        <v>0</v>
      </c>
      <c r="G164" s="6">
        <f t="shared" si="40"/>
        <v>0</v>
      </c>
      <c r="H164" s="6">
        <f t="shared" si="2"/>
        <v>0</v>
      </c>
      <c r="I164" s="6">
        <f t="shared" si="51"/>
        <v>0</v>
      </c>
      <c r="J164" s="6">
        <f>IF(SUM($I$126:I164)&gt;$E$61, SUM($I$126:I164)-SUM($J$125:J163)-$E$61,0)</f>
        <v>0</v>
      </c>
      <c r="K164" s="6" t="e">
        <f t="shared" si="3"/>
        <v>#DIV/0!</v>
      </c>
      <c r="L164" s="6" t="e">
        <f t="shared" si="4"/>
        <v>#DIV/0!</v>
      </c>
      <c r="M164" s="6" t="e">
        <f t="shared" si="5"/>
        <v>#DIV/0!</v>
      </c>
      <c r="N164" s="6">
        <f t="shared" si="6"/>
        <v>0</v>
      </c>
      <c r="O164" s="6">
        <f t="shared" si="7"/>
        <v>0</v>
      </c>
      <c r="P164" s="6">
        <f t="shared" si="8"/>
        <v>0</v>
      </c>
      <c r="Q164" s="6">
        <f t="shared" si="9"/>
        <v>0</v>
      </c>
      <c r="R164" s="6" t="e">
        <f t="shared" si="41"/>
        <v>#DIV/0!</v>
      </c>
      <c r="S164" s="6" t="e">
        <f t="shared" si="10"/>
        <v>#DIV/0!</v>
      </c>
      <c r="T164" s="11" t="e">
        <f>SUM($R$126:R164)/($E$87)</f>
        <v>#DIV/0!</v>
      </c>
      <c r="U164" s="89" t="e">
        <f t="shared" si="11"/>
        <v>#DIV/0!</v>
      </c>
      <c r="V164" s="6" t="e">
        <f t="shared" si="12"/>
        <v>#DIV/0!</v>
      </c>
      <c r="W164" s="6" t="e">
        <f t="shared" si="42"/>
        <v>#DIV/0!</v>
      </c>
      <c r="X164" s="6" t="e">
        <f t="shared" si="13"/>
        <v>#DIV/0!</v>
      </c>
      <c r="Y164" s="6" t="e">
        <f t="shared" si="14"/>
        <v>#DIV/0!</v>
      </c>
      <c r="Z164" s="90" t="e">
        <f t="shared" si="15"/>
        <v>#DIV/0!</v>
      </c>
      <c r="AA164" s="89" t="e">
        <f t="shared" si="16"/>
        <v>#DIV/0!</v>
      </c>
      <c r="AB164" s="6" t="e">
        <f t="shared" si="17"/>
        <v>#DIV/0!</v>
      </c>
      <c r="AC164" s="6" t="e">
        <f t="shared" si="52"/>
        <v>#NUM!</v>
      </c>
      <c r="AD164" s="90" t="e">
        <f t="shared" si="19"/>
        <v>#NUM!</v>
      </c>
      <c r="AE164" s="6" t="e">
        <f t="shared" si="20"/>
        <v>#DIV/0!</v>
      </c>
      <c r="AF164" s="6" t="e">
        <f>IF(SUM(AE165:$AE$245)-SUM(AJ165:$AK$245,AN165:$AN$245)&gt;$E$42,0,IF(SUM($AF$125:AF163)=0,$E$42-(SUM(AE165:$AE$245)-SUM(AJ165:$AK$245,AN165:$AN$245)),AE164-SUM(AJ164:AK164,AN164)))</f>
        <v>#DIV/0!</v>
      </c>
      <c r="AG164" s="89" t="e">
        <f t="shared" si="21"/>
        <v>#DIV/0!</v>
      </c>
      <c r="AH164" s="6" t="e">
        <f t="shared" si="43"/>
        <v>#DIV/0!</v>
      </c>
      <c r="AI164" s="6" t="e">
        <f t="shared" si="22"/>
        <v>#DIV/0!</v>
      </c>
      <c r="AJ164" s="6">
        <f t="shared" si="23"/>
        <v>0</v>
      </c>
      <c r="AK164" s="90">
        <f t="shared" si="24"/>
        <v>0</v>
      </c>
      <c r="AL164" s="6" t="e">
        <f t="shared" si="25"/>
        <v>#DIV/0!</v>
      </c>
      <c r="AM164" s="6" t="e">
        <f t="shared" si="44"/>
        <v>#NUM!</v>
      </c>
      <c r="AN164" s="6">
        <f t="shared" si="26"/>
        <v>0</v>
      </c>
      <c r="AO164" s="6" t="e">
        <f t="shared" si="27"/>
        <v>#DIV/0!</v>
      </c>
      <c r="AP164" s="15">
        <f>IFERROR(XIRR($AO$125:AO164,$D$125:D164),-100%)</f>
        <v>-1</v>
      </c>
      <c r="AQ164" s="129" t="e">
        <f t="shared" si="28"/>
        <v>#NUM!</v>
      </c>
      <c r="AR164" s="300">
        <v>0</v>
      </c>
      <c r="AS164" s="130" t="e">
        <f t="shared" si="53"/>
        <v>#DIV/0!</v>
      </c>
      <c r="AT164" s="10">
        <f>IFERROR(XIRR($AS$125:$AS164,$D$125:$D164),-100%)</f>
        <v>-1</v>
      </c>
      <c r="AU164" s="300">
        <v>0</v>
      </c>
      <c r="AV164" s="130" t="e">
        <f t="shared" si="54"/>
        <v>#DIV/0!</v>
      </c>
      <c r="AW164" s="131">
        <f>IFERROR(XIRR($AV$125:$AV164,$D$125:$D164),-100%)</f>
        <v>-1</v>
      </c>
      <c r="AX164" s="213">
        <f t="shared" si="45"/>
        <v>0</v>
      </c>
      <c r="AY164" s="200" t="e">
        <f t="shared" si="55"/>
        <v>#DIV/0!</v>
      </c>
      <c r="AZ164" s="159">
        <f t="shared" si="56"/>
        <v>0</v>
      </c>
      <c r="BA164" s="148" t="e">
        <f t="shared" si="46"/>
        <v>#NUM!</v>
      </c>
      <c r="BB164" s="6" t="e">
        <f t="shared" si="57"/>
        <v>#NUM!</v>
      </c>
      <c r="BC164" s="6" t="e">
        <f t="shared" si="58"/>
        <v>#NUM!</v>
      </c>
      <c r="BD164" s="149" t="e">
        <f t="shared" si="35"/>
        <v>#NUM!</v>
      </c>
      <c r="BE164" s="148" t="e">
        <f t="shared" si="47"/>
        <v>#NUM!</v>
      </c>
      <c r="BF164" s="6" t="e">
        <f t="shared" si="59"/>
        <v>#NUM!</v>
      </c>
      <c r="BG164" s="6" t="e">
        <f t="shared" si="60"/>
        <v>#DIV/0!</v>
      </c>
      <c r="BH164" s="6" t="e">
        <f t="shared" si="48"/>
        <v>#NUM!</v>
      </c>
      <c r="BI164" s="138" t="e">
        <f t="shared" si="61"/>
        <v>#DIV/0!</v>
      </c>
    </row>
    <row r="165" spans="1:61" x14ac:dyDescent="0.25">
      <c r="A165"/>
      <c r="B165" s="9">
        <f t="shared" si="50"/>
        <v>4</v>
      </c>
      <c r="C165" s="13">
        <v>40</v>
      </c>
      <c r="D165" s="12">
        <f t="shared" si="39"/>
        <v>1247</v>
      </c>
      <c r="E165" s="6">
        <f>INDEX(GC!$G$25:$G$144,MATCH($D165,GC!$C$25:$C$144,0))</f>
        <v>0</v>
      </c>
      <c r="F165" s="6">
        <f>INDEX(GC!$I$25:$I$144,MATCH($D165,GC!$C$25:$C$144,0))</f>
        <v>0</v>
      </c>
      <c r="G165" s="6">
        <f t="shared" si="40"/>
        <v>0</v>
      </c>
      <c r="H165" s="6">
        <f t="shared" si="2"/>
        <v>0</v>
      </c>
      <c r="I165" s="6">
        <f t="shared" si="51"/>
        <v>0</v>
      </c>
      <c r="J165" s="6">
        <f>IF(SUM($I$126:I165)&gt;$E$61, SUM($I$126:I165)-SUM($J$125:J164)-$E$61,0)</f>
        <v>0</v>
      </c>
      <c r="K165" s="6" t="e">
        <f t="shared" si="3"/>
        <v>#DIV/0!</v>
      </c>
      <c r="L165" s="6" t="e">
        <f t="shared" si="4"/>
        <v>#DIV/0!</v>
      </c>
      <c r="M165" s="6" t="e">
        <f t="shared" si="5"/>
        <v>#DIV/0!</v>
      </c>
      <c r="N165" s="6">
        <f t="shared" si="6"/>
        <v>0</v>
      </c>
      <c r="O165" s="6">
        <f t="shared" si="7"/>
        <v>0</v>
      </c>
      <c r="P165" s="6">
        <f t="shared" si="8"/>
        <v>0</v>
      </c>
      <c r="Q165" s="6">
        <f t="shared" si="9"/>
        <v>0</v>
      </c>
      <c r="R165" s="6" t="e">
        <f t="shared" si="41"/>
        <v>#DIV/0!</v>
      </c>
      <c r="S165" s="6" t="e">
        <f t="shared" si="10"/>
        <v>#DIV/0!</v>
      </c>
      <c r="T165" s="11" t="e">
        <f>SUM($R$126:R165)/($E$87)</f>
        <v>#DIV/0!</v>
      </c>
      <c r="U165" s="89" t="e">
        <f t="shared" si="11"/>
        <v>#DIV/0!</v>
      </c>
      <c r="V165" s="6" t="e">
        <f t="shared" si="12"/>
        <v>#DIV/0!</v>
      </c>
      <c r="W165" s="6" t="e">
        <f t="shared" si="42"/>
        <v>#DIV/0!</v>
      </c>
      <c r="X165" s="6" t="e">
        <f t="shared" si="13"/>
        <v>#DIV/0!</v>
      </c>
      <c r="Y165" s="6" t="e">
        <f t="shared" si="14"/>
        <v>#DIV/0!</v>
      </c>
      <c r="Z165" s="90" t="e">
        <f t="shared" si="15"/>
        <v>#DIV/0!</v>
      </c>
      <c r="AA165" s="89" t="e">
        <f t="shared" si="16"/>
        <v>#DIV/0!</v>
      </c>
      <c r="AB165" s="6" t="e">
        <f t="shared" si="17"/>
        <v>#DIV/0!</v>
      </c>
      <c r="AC165" s="6" t="e">
        <f t="shared" si="52"/>
        <v>#NUM!</v>
      </c>
      <c r="AD165" s="90" t="e">
        <f t="shared" si="19"/>
        <v>#NUM!</v>
      </c>
      <c r="AE165" s="6" t="e">
        <f t="shared" si="20"/>
        <v>#DIV/0!</v>
      </c>
      <c r="AF165" s="6" t="e">
        <f>IF(SUM(AE166:$AE$245)-SUM(AJ166:$AK$245,AN166:$AN$245)&gt;$E$42,0,IF(SUM($AF$125:AF164)=0,$E$42-(SUM(AE166:$AE$245)-SUM(AJ166:$AK$245,AN166:$AN$245)),AE165-SUM(AJ165:AK165,AN165)))</f>
        <v>#DIV/0!</v>
      </c>
      <c r="AG165" s="89" t="e">
        <f t="shared" si="21"/>
        <v>#DIV/0!</v>
      </c>
      <c r="AH165" s="6" t="e">
        <f t="shared" si="43"/>
        <v>#DIV/0!</v>
      </c>
      <c r="AI165" s="6" t="e">
        <f t="shared" si="22"/>
        <v>#DIV/0!</v>
      </c>
      <c r="AJ165" s="6">
        <f t="shared" si="23"/>
        <v>0</v>
      </c>
      <c r="AK165" s="90">
        <f t="shared" si="24"/>
        <v>0</v>
      </c>
      <c r="AL165" s="6" t="e">
        <f t="shared" si="25"/>
        <v>#DIV/0!</v>
      </c>
      <c r="AM165" s="6" t="e">
        <f t="shared" si="44"/>
        <v>#NUM!</v>
      </c>
      <c r="AN165" s="6">
        <f t="shared" si="26"/>
        <v>0</v>
      </c>
      <c r="AO165" s="6" t="e">
        <f t="shared" si="27"/>
        <v>#DIV/0!</v>
      </c>
      <c r="AP165" s="15">
        <f>IFERROR(XIRR($AO$125:AO165,$D$125:D165),-100%)</f>
        <v>-1</v>
      </c>
      <c r="AQ165" s="129" t="e">
        <f t="shared" si="28"/>
        <v>#NUM!</v>
      </c>
      <c r="AR165" s="300">
        <v>0</v>
      </c>
      <c r="AS165" s="130" t="e">
        <f t="shared" si="53"/>
        <v>#DIV/0!</v>
      </c>
      <c r="AT165" s="10">
        <f>IFERROR(XIRR($AS$125:$AS165,$D$125:$D165),-100%)</f>
        <v>-1</v>
      </c>
      <c r="AU165" s="300">
        <v>0</v>
      </c>
      <c r="AV165" s="130" t="e">
        <f t="shared" si="54"/>
        <v>#DIV/0!</v>
      </c>
      <c r="AW165" s="131">
        <f>IFERROR(XIRR($AV$125:$AV165,$D$125:$D165),-100%)</f>
        <v>-1</v>
      </c>
      <c r="AX165" s="213">
        <f t="shared" si="45"/>
        <v>0</v>
      </c>
      <c r="AY165" s="200" t="e">
        <f t="shared" si="55"/>
        <v>#DIV/0!</v>
      </c>
      <c r="AZ165" s="159">
        <f t="shared" si="56"/>
        <v>0</v>
      </c>
      <c r="BA165" s="148" t="e">
        <f t="shared" si="46"/>
        <v>#NUM!</v>
      </c>
      <c r="BB165" s="6" t="e">
        <f t="shared" si="57"/>
        <v>#NUM!</v>
      </c>
      <c r="BC165" s="6" t="e">
        <f t="shared" si="58"/>
        <v>#NUM!</v>
      </c>
      <c r="BD165" s="149" t="e">
        <f t="shared" si="35"/>
        <v>#NUM!</v>
      </c>
      <c r="BE165" s="148" t="e">
        <f t="shared" si="47"/>
        <v>#NUM!</v>
      </c>
      <c r="BF165" s="6" t="e">
        <f t="shared" si="59"/>
        <v>#NUM!</v>
      </c>
      <c r="BG165" s="6" t="e">
        <f t="shared" si="60"/>
        <v>#DIV/0!</v>
      </c>
      <c r="BH165" s="6" t="e">
        <f t="shared" si="48"/>
        <v>#NUM!</v>
      </c>
      <c r="BI165" s="138" t="e">
        <f t="shared" si="61"/>
        <v>#DIV/0!</v>
      </c>
    </row>
    <row r="166" spans="1:61" x14ac:dyDescent="0.25">
      <c r="A166"/>
      <c r="B166" s="9">
        <f t="shared" si="50"/>
        <v>4</v>
      </c>
      <c r="C166" s="13">
        <v>41</v>
      </c>
      <c r="D166" s="12">
        <f t="shared" si="39"/>
        <v>1277</v>
      </c>
      <c r="E166" s="6">
        <f>INDEX(GC!$G$25:$G$144,MATCH($D166,GC!$C$25:$C$144,0))</f>
        <v>0</v>
      </c>
      <c r="F166" s="6">
        <f>INDEX(GC!$I$25:$I$144,MATCH($D166,GC!$C$25:$C$144,0))</f>
        <v>0</v>
      </c>
      <c r="G166" s="6">
        <f t="shared" si="40"/>
        <v>0</v>
      </c>
      <c r="H166" s="6">
        <f t="shared" si="2"/>
        <v>0</v>
      </c>
      <c r="I166" s="6">
        <f t="shared" si="51"/>
        <v>0</v>
      </c>
      <c r="J166" s="6">
        <f>IF(SUM($I$126:I166)&gt;$E$61, SUM($I$126:I166)-SUM($J$125:J165)-$E$61,0)</f>
        <v>0</v>
      </c>
      <c r="K166" s="6" t="e">
        <f t="shared" si="3"/>
        <v>#DIV/0!</v>
      </c>
      <c r="L166" s="6" t="e">
        <f t="shared" si="4"/>
        <v>#DIV/0!</v>
      </c>
      <c r="M166" s="6" t="e">
        <f t="shared" si="5"/>
        <v>#DIV/0!</v>
      </c>
      <c r="N166" s="6">
        <f t="shared" si="6"/>
        <v>0</v>
      </c>
      <c r="O166" s="6">
        <f t="shared" si="7"/>
        <v>0</v>
      </c>
      <c r="P166" s="6">
        <f t="shared" si="8"/>
        <v>0</v>
      </c>
      <c r="Q166" s="6">
        <f t="shared" si="9"/>
        <v>0</v>
      </c>
      <c r="R166" s="6" t="e">
        <f t="shared" si="41"/>
        <v>#DIV/0!</v>
      </c>
      <c r="S166" s="6" t="e">
        <f t="shared" si="10"/>
        <v>#DIV/0!</v>
      </c>
      <c r="T166" s="11" t="e">
        <f>SUM($R$126:R166)/($E$87)</f>
        <v>#DIV/0!</v>
      </c>
      <c r="U166" s="89" t="e">
        <f t="shared" si="11"/>
        <v>#DIV/0!</v>
      </c>
      <c r="V166" s="6" t="e">
        <f t="shared" si="12"/>
        <v>#DIV/0!</v>
      </c>
      <c r="W166" s="6" t="e">
        <f t="shared" si="42"/>
        <v>#DIV/0!</v>
      </c>
      <c r="X166" s="6" t="e">
        <f t="shared" si="13"/>
        <v>#DIV/0!</v>
      </c>
      <c r="Y166" s="6" t="e">
        <f t="shared" si="14"/>
        <v>#DIV/0!</v>
      </c>
      <c r="Z166" s="90" t="e">
        <f t="shared" si="15"/>
        <v>#DIV/0!</v>
      </c>
      <c r="AA166" s="89" t="e">
        <f t="shared" si="16"/>
        <v>#DIV/0!</v>
      </c>
      <c r="AB166" s="6" t="e">
        <f t="shared" si="17"/>
        <v>#DIV/0!</v>
      </c>
      <c r="AC166" s="6" t="e">
        <f t="shared" si="52"/>
        <v>#NUM!</v>
      </c>
      <c r="AD166" s="90" t="e">
        <f t="shared" si="19"/>
        <v>#NUM!</v>
      </c>
      <c r="AE166" s="6" t="e">
        <f t="shared" si="20"/>
        <v>#DIV/0!</v>
      </c>
      <c r="AF166" s="6" t="e">
        <f>IF(SUM(AE167:$AE$245)-SUM(AJ167:$AK$245,AN167:$AN$245)&gt;$E$42,0,IF(SUM($AF$125:AF165)=0,$E$42-(SUM(AE167:$AE$245)-SUM(AJ167:$AK$245,AN167:$AN$245)),AE166-SUM(AJ166:AK166,AN166)))</f>
        <v>#DIV/0!</v>
      </c>
      <c r="AG166" s="89" t="e">
        <f t="shared" si="21"/>
        <v>#DIV/0!</v>
      </c>
      <c r="AH166" s="6" t="e">
        <f t="shared" si="43"/>
        <v>#DIV/0!</v>
      </c>
      <c r="AI166" s="6" t="e">
        <f t="shared" si="22"/>
        <v>#DIV/0!</v>
      </c>
      <c r="AJ166" s="6">
        <f t="shared" si="23"/>
        <v>0</v>
      </c>
      <c r="AK166" s="90">
        <f t="shared" si="24"/>
        <v>0</v>
      </c>
      <c r="AL166" s="6" t="e">
        <f t="shared" si="25"/>
        <v>#DIV/0!</v>
      </c>
      <c r="AM166" s="6" t="e">
        <f t="shared" si="44"/>
        <v>#NUM!</v>
      </c>
      <c r="AN166" s="6">
        <f t="shared" si="26"/>
        <v>0</v>
      </c>
      <c r="AO166" s="6" t="e">
        <f t="shared" si="27"/>
        <v>#DIV/0!</v>
      </c>
      <c r="AP166" s="15">
        <f>IFERROR(XIRR($AO$125:AO166,$D$125:D166),-100%)</f>
        <v>-1</v>
      </c>
      <c r="AQ166" s="129" t="e">
        <f t="shared" si="28"/>
        <v>#NUM!</v>
      </c>
      <c r="AR166" s="300">
        <v>0</v>
      </c>
      <c r="AS166" s="130" t="e">
        <f t="shared" si="53"/>
        <v>#DIV/0!</v>
      </c>
      <c r="AT166" s="10">
        <f>IFERROR(XIRR($AS$125:$AS166,$D$125:$D166),-100%)</f>
        <v>-1</v>
      </c>
      <c r="AU166" s="300">
        <v>0</v>
      </c>
      <c r="AV166" s="130" t="e">
        <f t="shared" si="54"/>
        <v>#DIV/0!</v>
      </c>
      <c r="AW166" s="131">
        <f>IFERROR(XIRR($AV$125:$AV166,$D$125:$D166),-100%)</f>
        <v>-1</v>
      </c>
      <c r="AX166" s="213">
        <f t="shared" si="45"/>
        <v>0</v>
      </c>
      <c r="AY166" s="200" t="e">
        <f t="shared" si="55"/>
        <v>#DIV/0!</v>
      </c>
      <c r="AZ166" s="159">
        <f t="shared" si="56"/>
        <v>0</v>
      </c>
      <c r="BA166" s="148" t="e">
        <f t="shared" si="46"/>
        <v>#NUM!</v>
      </c>
      <c r="BB166" s="6" t="e">
        <f t="shared" si="57"/>
        <v>#NUM!</v>
      </c>
      <c r="BC166" s="6" t="e">
        <f t="shared" si="58"/>
        <v>#NUM!</v>
      </c>
      <c r="BD166" s="149" t="e">
        <f t="shared" si="35"/>
        <v>#NUM!</v>
      </c>
      <c r="BE166" s="148" t="e">
        <f t="shared" si="47"/>
        <v>#NUM!</v>
      </c>
      <c r="BF166" s="6" t="e">
        <f t="shared" si="59"/>
        <v>#NUM!</v>
      </c>
      <c r="BG166" s="6" t="e">
        <f t="shared" si="60"/>
        <v>#DIV/0!</v>
      </c>
      <c r="BH166" s="6" t="e">
        <f t="shared" si="48"/>
        <v>#NUM!</v>
      </c>
      <c r="BI166" s="138" t="e">
        <f t="shared" si="61"/>
        <v>#DIV/0!</v>
      </c>
    </row>
    <row r="167" spans="1:61" x14ac:dyDescent="0.25">
      <c r="A167"/>
      <c r="B167" s="9">
        <f t="shared" si="50"/>
        <v>4</v>
      </c>
      <c r="C167" s="13">
        <v>42</v>
      </c>
      <c r="D167" s="12">
        <f t="shared" si="39"/>
        <v>1308</v>
      </c>
      <c r="E167" s="6">
        <f>INDEX(GC!$G$25:$G$144,MATCH($D167,GC!$C$25:$C$144,0))</f>
        <v>0</v>
      </c>
      <c r="F167" s="6">
        <f>INDEX(GC!$I$25:$I$144,MATCH($D167,GC!$C$25:$C$144,0))</f>
        <v>0</v>
      </c>
      <c r="G167" s="6">
        <f t="shared" si="40"/>
        <v>0</v>
      </c>
      <c r="H167" s="6">
        <f t="shared" si="2"/>
        <v>0</v>
      </c>
      <c r="I167" s="6">
        <f t="shared" si="51"/>
        <v>0</v>
      </c>
      <c r="J167" s="6">
        <f>IF(SUM($I$126:I167)&gt;$E$61, SUM($I$126:I167)-SUM($J$125:J166)-$E$61,0)</f>
        <v>0</v>
      </c>
      <c r="K167" s="6" t="e">
        <f t="shared" si="3"/>
        <v>#DIV/0!</v>
      </c>
      <c r="L167" s="6" t="e">
        <f t="shared" si="4"/>
        <v>#DIV/0!</v>
      </c>
      <c r="M167" s="6" t="e">
        <f t="shared" si="5"/>
        <v>#DIV/0!</v>
      </c>
      <c r="N167" s="6">
        <f t="shared" si="6"/>
        <v>0</v>
      </c>
      <c r="O167" s="6">
        <f t="shared" si="7"/>
        <v>0</v>
      </c>
      <c r="P167" s="6">
        <f t="shared" si="8"/>
        <v>0</v>
      </c>
      <c r="Q167" s="6">
        <f t="shared" si="9"/>
        <v>0</v>
      </c>
      <c r="R167" s="6" t="e">
        <f t="shared" si="41"/>
        <v>#DIV/0!</v>
      </c>
      <c r="S167" s="6" t="e">
        <f t="shared" si="10"/>
        <v>#DIV/0!</v>
      </c>
      <c r="T167" s="11" t="e">
        <f>SUM($R$126:R167)/($E$87)</f>
        <v>#DIV/0!</v>
      </c>
      <c r="U167" s="89" t="e">
        <f t="shared" si="11"/>
        <v>#DIV/0!</v>
      </c>
      <c r="V167" s="6" t="e">
        <f t="shared" si="12"/>
        <v>#DIV/0!</v>
      </c>
      <c r="W167" s="6" t="e">
        <f t="shared" si="42"/>
        <v>#DIV/0!</v>
      </c>
      <c r="X167" s="6" t="e">
        <f t="shared" si="13"/>
        <v>#DIV/0!</v>
      </c>
      <c r="Y167" s="6" t="e">
        <f t="shared" si="14"/>
        <v>#DIV/0!</v>
      </c>
      <c r="Z167" s="90" t="e">
        <f t="shared" si="15"/>
        <v>#DIV/0!</v>
      </c>
      <c r="AA167" s="89" t="e">
        <f t="shared" si="16"/>
        <v>#DIV/0!</v>
      </c>
      <c r="AB167" s="6" t="e">
        <f t="shared" si="17"/>
        <v>#DIV/0!</v>
      </c>
      <c r="AC167" s="6" t="e">
        <f t="shared" si="52"/>
        <v>#NUM!</v>
      </c>
      <c r="AD167" s="90" t="e">
        <f t="shared" si="19"/>
        <v>#NUM!</v>
      </c>
      <c r="AE167" s="6" t="e">
        <f t="shared" si="20"/>
        <v>#DIV/0!</v>
      </c>
      <c r="AF167" s="6" t="e">
        <f>IF(SUM(AE168:$AE$245)-SUM(AJ168:$AK$245,AN168:$AN$245)&gt;$E$42,0,IF(SUM($AF$125:AF166)=0,$E$42-(SUM(AE168:$AE$245)-SUM(AJ168:$AK$245,AN168:$AN$245)),AE167-SUM(AJ167:AK167,AN167)))</f>
        <v>#DIV/0!</v>
      </c>
      <c r="AG167" s="89" t="e">
        <f t="shared" si="21"/>
        <v>#DIV/0!</v>
      </c>
      <c r="AH167" s="6" t="e">
        <f t="shared" si="43"/>
        <v>#DIV/0!</v>
      </c>
      <c r="AI167" s="6" t="e">
        <f t="shared" si="22"/>
        <v>#DIV/0!</v>
      </c>
      <c r="AJ167" s="6">
        <f t="shared" si="23"/>
        <v>0</v>
      </c>
      <c r="AK167" s="90">
        <f t="shared" si="24"/>
        <v>0</v>
      </c>
      <c r="AL167" s="6" t="e">
        <f t="shared" si="25"/>
        <v>#DIV/0!</v>
      </c>
      <c r="AM167" s="6" t="e">
        <f t="shared" si="44"/>
        <v>#NUM!</v>
      </c>
      <c r="AN167" s="6">
        <f t="shared" si="26"/>
        <v>0</v>
      </c>
      <c r="AO167" s="6" t="e">
        <f t="shared" si="27"/>
        <v>#DIV/0!</v>
      </c>
      <c r="AP167" s="15">
        <f>IFERROR(XIRR($AO$125:AO167,$D$125:D167),-100%)</f>
        <v>-1</v>
      </c>
      <c r="AQ167" s="129" t="e">
        <f t="shared" si="28"/>
        <v>#NUM!</v>
      </c>
      <c r="AR167" s="300">
        <v>0</v>
      </c>
      <c r="AS167" s="130" t="e">
        <f t="shared" si="53"/>
        <v>#DIV/0!</v>
      </c>
      <c r="AT167" s="10">
        <f>IFERROR(XIRR($AS$125:$AS167,$D$125:$D167),-100%)</f>
        <v>-1</v>
      </c>
      <c r="AU167" s="300">
        <v>0</v>
      </c>
      <c r="AV167" s="130" t="e">
        <f t="shared" si="54"/>
        <v>#DIV/0!</v>
      </c>
      <c r="AW167" s="131">
        <f>IFERROR(XIRR($AV$125:$AV167,$D$125:$D167),-100%)</f>
        <v>-1</v>
      </c>
      <c r="AX167" s="213">
        <f t="shared" si="45"/>
        <v>0</v>
      </c>
      <c r="AY167" s="200" t="e">
        <f t="shared" si="55"/>
        <v>#DIV/0!</v>
      </c>
      <c r="AZ167" s="159">
        <f t="shared" si="56"/>
        <v>0</v>
      </c>
      <c r="BA167" s="148" t="e">
        <f t="shared" si="46"/>
        <v>#NUM!</v>
      </c>
      <c r="BB167" s="6" t="e">
        <f t="shared" si="57"/>
        <v>#NUM!</v>
      </c>
      <c r="BC167" s="6" t="e">
        <f t="shared" si="58"/>
        <v>#NUM!</v>
      </c>
      <c r="BD167" s="149" t="e">
        <f t="shared" si="35"/>
        <v>#NUM!</v>
      </c>
      <c r="BE167" s="148" t="e">
        <f t="shared" si="47"/>
        <v>#NUM!</v>
      </c>
      <c r="BF167" s="6" t="e">
        <f t="shared" si="59"/>
        <v>#NUM!</v>
      </c>
      <c r="BG167" s="6" t="e">
        <f t="shared" si="60"/>
        <v>#DIV/0!</v>
      </c>
      <c r="BH167" s="6" t="e">
        <f t="shared" si="48"/>
        <v>#NUM!</v>
      </c>
      <c r="BI167" s="138" t="e">
        <f t="shared" si="61"/>
        <v>#DIV/0!</v>
      </c>
    </row>
    <row r="168" spans="1:61" x14ac:dyDescent="0.25">
      <c r="A168"/>
      <c r="B168" s="9">
        <f t="shared" si="50"/>
        <v>4</v>
      </c>
      <c r="C168" s="13">
        <v>43</v>
      </c>
      <c r="D168" s="12">
        <f t="shared" si="39"/>
        <v>1339</v>
      </c>
      <c r="E168" s="6">
        <f>INDEX(GC!$G$25:$G$144,MATCH($D168,GC!$C$25:$C$144,0))</f>
        <v>0</v>
      </c>
      <c r="F168" s="6">
        <f>INDEX(GC!$I$25:$I$144,MATCH($D168,GC!$C$25:$C$144,0))</f>
        <v>0</v>
      </c>
      <c r="G168" s="6">
        <f t="shared" si="40"/>
        <v>0</v>
      </c>
      <c r="H168" s="6">
        <f t="shared" si="2"/>
        <v>0</v>
      </c>
      <c r="I168" s="6">
        <f t="shared" si="51"/>
        <v>0</v>
      </c>
      <c r="J168" s="6">
        <f>IF(SUM($I$126:I168)&gt;$E$61, SUM($I$126:I168)-SUM($J$125:J167)-$E$61,0)</f>
        <v>0</v>
      </c>
      <c r="K168" s="6" t="e">
        <f t="shared" si="3"/>
        <v>#DIV/0!</v>
      </c>
      <c r="L168" s="6" t="e">
        <f t="shared" si="4"/>
        <v>#DIV/0!</v>
      </c>
      <c r="M168" s="6" t="e">
        <f t="shared" si="5"/>
        <v>#DIV/0!</v>
      </c>
      <c r="N168" s="6">
        <f t="shared" si="6"/>
        <v>0</v>
      </c>
      <c r="O168" s="6">
        <f t="shared" si="7"/>
        <v>0</v>
      </c>
      <c r="P168" s="6">
        <f t="shared" si="8"/>
        <v>0</v>
      </c>
      <c r="Q168" s="6">
        <f t="shared" si="9"/>
        <v>0</v>
      </c>
      <c r="R168" s="6" t="e">
        <f t="shared" si="41"/>
        <v>#DIV/0!</v>
      </c>
      <c r="S168" s="6" t="e">
        <f t="shared" si="10"/>
        <v>#DIV/0!</v>
      </c>
      <c r="T168" s="11" t="e">
        <f>SUM($R$126:R168)/($E$87)</f>
        <v>#DIV/0!</v>
      </c>
      <c r="U168" s="89" t="e">
        <f t="shared" si="11"/>
        <v>#DIV/0!</v>
      </c>
      <c r="V168" s="6" t="e">
        <f t="shared" si="12"/>
        <v>#DIV/0!</v>
      </c>
      <c r="W168" s="6" t="e">
        <f t="shared" si="42"/>
        <v>#DIV/0!</v>
      </c>
      <c r="X168" s="6" t="e">
        <f t="shared" si="13"/>
        <v>#DIV/0!</v>
      </c>
      <c r="Y168" s="6" t="e">
        <f t="shared" si="14"/>
        <v>#DIV/0!</v>
      </c>
      <c r="Z168" s="90" t="e">
        <f t="shared" si="15"/>
        <v>#DIV/0!</v>
      </c>
      <c r="AA168" s="89" t="e">
        <f t="shared" si="16"/>
        <v>#DIV/0!</v>
      </c>
      <c r="AB168" s="6" t="e">
        <f t="shared" si="17"/>
        <v>#DIV/0!</v>
      </c>
      <c r="AC168" s="6" t="e">
        <f t="shared" si="52"/>
        <v>#NUM!</v>
      </c>
      <c r="AD168" s="90" t="e">
        <f t="shared" si="19"/>
        <v>#NUM!</v>
      </c>
      <c r="AE168" s="6" t="e">
        <f t="shared" si="20"/>
        <v>#DIV/0!</v>
      </c>
      <c r="AF168" s="6" t="e">
        <f>IF(SUM(AE169:$AE$245)-SUM(AJ169:$AK$245,AN169:$AN$245)&gt;$E$42,0,IF(SUM($AF$125:AF167)=0,$E$42-(SUM(AE169:$AE$245)-SUM(AJ169:$AK$245,AN169:$AN$245)),AE168-SUM(AJ168:AK168,AN168)))</f>
        <v>#DIV/0!</v>
      </c>
      <c r="AG168" s="89" t="e">
        <f t="shared" si="21"/>
        <v>#DIV/0!</v>
      </c>
      <c r="AH168" s="6" t="e">
        <f t="shared" si="43"/>
        <v>#DIV/0!</v>
      </c>
      <c r="AI168" s="6" t="e">
        <f t="shared" si="22"/>
        <v>#DIV/0!</v>
      </c>
      <c r="AJ168" s="6">
        <f t="shared" si="23"/>
        <v>0</v>
      </c>
      <c r="AK168" s="90">
        <f t="shared" si="24"/>
        <v>0</v>
      </c>
      <c r="AL168" s="6" t="e">
        <f t="shared" si="25"/>
        <v>#DIV/0!</v>
      </c>
      <c r="AM168" s="6" t="e">
        <f t="shared" si="44"/>
        <v>#NUM!</v>
      </c>
      <c r="AN168" s="6">
        <f t="shared" si="26"/>
        <v>0</v>
      </c>
      <c r="AO168" s="6" t="e">
        <f t="shared" si="27"/>
        <v>#DIV/0!</v>
      </c>
      <c r="AP168" s="15">
        <f>IFERROR(XIRR($AO$125:AO168,$D$125:D168),-100%)</f>
        <v>-1</v>
      </c>
      <c r="AQ168" s="129" t="e">
        <f t="shared" si="28"/>
        <v>#NUM!</v>
      </c>
      <c r="AR168" s="300">
        <v>0</v>
      </c>
      <c r="AS168" s="130" t="e">
        <f t="shared" si="53"/>
        <v>#DIV/0!</v>
      </c>
      <c r="AT168" s="10">
        <f>IFERROR(XIRR($AS$125:$AS168,$D$125:$D168),-100%)</f>
        <v>-1</v>
      </c>
      <c r="AU168" s="300">
        <v>0</v>
      </c>
      <c r="AV168" s="130" t="e">
        <f t="shared" si="54"/>
        <v>#DIV/0!</v>
      </c>
      <c r="AW168" s="131">
        <f>IFERROR(XIRR($AV$125:$AV168,$D$125:$D168),-100%)</f>
        <v>-1</v>
      </c>
      <c r="AX168" s="213">
        <f t="shared" si="45"/>
        <v>0</v>
      </c>
      <c r="AY168" s="200" t="e">
        <f t="shared" si="55"/>
        <v>#DIV/0!</v>
      </c>
      <c r="AZ168" s="159">
        <f t="shared" si="56"/>
        <v>0</v>
      </c>
      <c r="BA168" s="148" t="e">
        <f t="shared" si="46"/>
        <v>#NUM!</v>
      </c>
      <c r="BB168" s="6" t="e">
        <f t="shared" si="57"/>
        <v>#NUM!</v>
      </c>
      <c r="BC168" s="6" t="e">
        <f t="shared" si="58"/>
        <v>#NUM!</v>
      </c>
      <c r="BD168" s="149" t="e">
        <f t="shared" si="35"/>
        <v>#NUM!</v>
      </c>
      <c r="BE168" s="148" t="e">
        <f t="shared" si="47"/>
        <v>#NUM!</v>
      </c>
      <c r="BF168" s="6" t="e">
        <f t="shared" si="59"/>
        <v>#NUM!</v>
      </c>
      <c r="BG168" s="6" t="e">
        <f t="shared" si="60"/>
        <v>#DIV/0!</v>
      </c>
      <c r="BH168" s="6" t="e">
        <f t="shared" si="48"/>
        <v>#NUM!</v>
      </c>
      <c r="BI168" s="138" t="e">
        <f t="shared" si="61"/>
        <v>#DIV/0!</v>
      </c>
    </row>
    <row r="169" spans="1:61" x14ac:dyDescent="0.25">
      <c r="A169"/>
      <c r="B169" s="9">
        <f t="shared" si="50"/>
        <v>4</v>
      </c>
      <c r="C169" s="13">
        <v>44</v>
      </c>
      <c r="D169" s="12">
        <f t="shared" si="39"/>
        <v>1369</v>
      </c>
      <c r="E169" s="6">
        <f>INDEX(GC!$G$25:$G$144,MATCH($D169,GC!$C$25:$C$144,0))</f>
        <v>0</v>
      </c>
      <c r="F169" s="6">
        <f>INDEX(GC!$I$25:$I$144,MATCH($D169,GC!$C$25:$C$144,0))</f>
        <v>0</v>
      </c>
      <c r="G169" s="6">
        <f t="shared" si="40"/>
        <v>0</v>
      </c>
      <c r="H169" s="6">
        <f t="shared" si="2"/>
        <v>0</v>
      </c>
      <c r="I169" s="6">
        <f t="shared" si="51"/>
        <v>0</v>
      </c>
      <c r="J169" s="6">
        <f>IF(SUM($I$126:I169)&gt;$E$61, SUM($I$126:I169)-SUM($J$125:J168)-$E$61,0)</f>
        <v>0</v>
      </c>
      <c r="K169" s="6" t="e">
        <f t="shared" si="3"/>
        <v>#DIV/0!</v>
      </c>
      <c r="L169" s="6" t="e">
        <f t="shared" si="4"/>
        <v>#DIV/0!</v>
      </c>
      <c r="M169" s="6" t="e">
        <f t="shared" si="5"/>
        <v>#DIV/0!</v>
      </c>
      <c r="N169" s="6">
        <f t="shared" si="6"/>
        <v>0</v>
      </c>
      <c r="O169" s="6">
        <f t="shared" si="7"/>
        <v>0</v>
      </c>
      <c r="P169" s="6">
        <f t="shared" si="8"/>
        <v>0</v>
      </c>
      <c r="Q169" s="6">
        <f t="shared" si="9"/>
        <v>0</v>
      </c>
      <c r="R169" s="6" t="e">
        <f t="shared" si="41"/>
        <v>#DIV/0!</v>
      </c>
      <c r="S169" s="6" t="e">
        <f t="shared" si="10"/>
        <v>#DIV/0!</v>
      </c>
      <c r="T169" s="11" t="e">
        <f>SUM($R$126:R169)/($E$87)</f>
        <v>#DIV/0!</v>
      </c>
      <c r="U169" s="89" t="e">
        <f t="shared" si="11"/>
        <v>#DIV/0!</v>
      </c>
      <c r="V169" s="6" t="e">
        <f t="shared" si="12"/>
        <v>#DIV/0!</v>
      </c>
      <c r="W169" s="6" t="e">
        <f t="shared" si="42"/>
        <v>#DIV/0!</v>
      </c>
      <c r="X169" s="6" t="e">
        <f t="shared" si="13"/>
        <v>#DIV/0!</v>
      </c>
      <c r="Y169" s="6" t="e">
        <f t="shared" si="14"/>
        <v>#DIV/0!</v>
      </c>
      <c r="Z169" s="90" t="e">
        <f t="shared" si="15"/>
        <v>#DIV/0!</v>
      </c>
      <c r="AA169" s="89" t="e">
        <f t="shared" si="16"/>
        <v>#DIV/0!</v>
      </c>
      <c r="AB169" s="6" t="e">
        <f t="shared" si="17"/>
        <v>#DIV/0!</v>
      </c>
      <c r="AC169" s="6" t="e">
        <f t="shared" si="52"/>
        <v>#NUM!</v>
      </c>
      <c r="AD169" s="90" t="e">
        <f t="shared" si="19"/>
        <v>#NUM!</v>
      </c>
      <c r="AE169" s="6" t="e">
        <f t="shared" si="20"/>
        <v>#DIV/0!</v>
      </c>
      <c r="AF169" s="6" t="e">
        <f>IF(SUM(AE170:$AE$245)-SUM(AJ170:$AK$245,AN170:$AN$245)&gt;$E$42,0,IF(SUM($AF$125:AF168)=0,$E$42-(SUM(AE170:$AE$245)-SUM(AJ170:$AK$245,AN170:$AN$245)),AE169-SUM(AJ169:AK169,AN169)))</f>
        <v>#DIV/0!</v>
      </c>
      <c r="AG169" s="89" t="e">
        <f t="shared" si="21"/>
        <v>#DIV/0!</v>
      </c>
      <c r="AH169" s="6" t="e">
        <f t="shared" si="43"/>
        <v>#DIV/0!</v>
      </c>
      <c r="AI169" s="6" t="e">
        <f t="shared" si="22"/>
        <v>#DIV/0!</v>
      </c>
      <c r="AJ169" s="6">
        <f t="shared" si="23"/>
        <v>0</v>
      </c>
      <c r="AK169" s="90">
        <f t="shared" si="24"/>
        <v>0</v>
      </c>
      <c r="AL169" s="6" t="e">
        <f t="shared" si="25"/>
        <v>#DIV/0!</v>
      </c>
      <c r="AM169" s="6" t="e">
        <f t="shared" si="44"/>
        <v>#NUM!</v>
      </c>
      <c r="AN169" s="6">
        <f t="shared" si="26"/>
        <v>0</v>
      </c>
      <c r="AO169" s="6" t="e">
        <f t="shared" si="27"/>
        <v>#DIV/0!</v>
      </c>
      <c r="AP169" s="15">
        <f>IFERROR(XIRR($AO$125:AO169,$D$125:D169),-100%)</f>
        <v>-1</v>
      </c>
      <c r="AQ169" s="129" t="e">
        <f t="shared" si="28"/>
        <v>#NUM!</v>
      </c>
      <c r="AR169" s="300">
        <v>0</v>
      </c>
      <c r="AS169" s="130" t="e">
        <f t="shared" si="53"/>
        <v>#DIV/0!</v>
      </c>
      <c r="AT169" s="10">
        <f>IFERROR(XIRR($AS$125:$AS169,$D$125:$D169),-100%)</f>
        <v>-1</v>
      </c>
      <c r="AU169" s="300">
        <v>0</v>
      </c>
      <c r="AV169" s="130" t="e">
        <f t="shared" si="54"/>
        <v>#DIV/0!</v>
      </c>
      <c r="AW169" s="131">
        <f>IFERROR(XIRR($AV$125:$AV169,$D$125:$D169),-100%)</f>
        <v>-1</v>
      </c>
      <c r="AX169" s="213">
        <f t="shared" si="45"/>
        <v>0</v>
      </c>
      <c r="AY169" s="200" t="e">
        <f t="shared" si="55"/>
        <v>#DIV/0!</v>
      </c>
      <c r="AZ169" s="159">
        <f t="shared" si="56"/>
        <v>0</v>
      </c>
      <c r="BA169" s="148" t="e">
        <f t="shared" si="46"/>
        <v>#NUM!</v>
      </c>
      <c r="BB169" s="6" t="e">
        <f t="shared" si="57"/>
        <v>#NUM!</v>
      </c>
      <c r="BC169" s="6" t="e">
        <f t="shared" si="58"/>
        <v>#NUM!</v>
      </c>
      <c r="BD169" s="149" t="e">
        <f t="shared" si="35"/>
        <v>#NUM!</v>
      </c>
      <c r="BE169" s="148" t="e">
        <f t="shared" si="47"/>
        <v>#NUM!</v>
      </c>
      <c r="BF169" s="6" t="e">
        <f t="shared" si="59"/>
        <v>#NUM!</v>
      </c>
      <c r="BG169" s="6" t="e">
        <f t="shared" si="60"/>
        <v>#DIV/0!</v>
      </c>
      <c r="BH169" s="6" t="e">
        <f t="shared" si="48"/>
        <v>#NUM!</v>
      </c>
      <c r="BI169" s="138" t="e">
        <f t="shared" si="61"/>
        <v>#DIV/0!</v>
      </c>
    </row>
    <row r="170" spans="1:61" x14ac:dyDescent="0.25">
      <c r="A170"/>
      <c r="B170" s="9">
        <f t="shared" si="50"/>
        <v>4</v>
      </c>
      <c r="C170" s="13">
        <v>45</v>
      </c>
      <c r="D170" s="12">
        <f t="shared" si="39"/>
        <v>1400</v>
      </c>
      <c r="E170" s="6">
        <f>INDEX(GC!$G$25:$G$144,MATCH($D170,GC!$C$25:$C$144,0))</f>
        <v>0</v>
      </c>
      <c r="F170" s="6">
        <f>INDEX(GC!$I$25:$I$144,MATCH($D170,GC!$C$25:$C$144,0))</f>
        <v>0</v>
      </c>
      <c r="G170" s="6">
        <f t="shared" si="40"/>
        <v>0</v>
      </c>
      <c r="H170" s="6">
        <f t="shared" si="2"/>
        <v>0</v>
      </c>
      <c r="I170" s="6">
        <f t="shared" si="51"/>
        <v>0</v>
      </c>
      <c r="J170" s="6">
        <f>IF(SUM($I$126:I170)&gt;$E$61, SUM($I$126:I170)-SUM($J$125:J169)-$E$61,0)</f>
        <v>0</v>
      </c>
      <c r="K170" s="6" t="e">
        <f t="shared" si="3"/>
        <v>#DIV/0!</v>
      </c>
      <c r="L170" s="6" t="e">
        <f t="shared" si="4"/>
        <v>#DIV/0!</v>
      </c>
      <c r="M170" s="6" t="e">
        <f t="shared" si="5"/>
        <v>#DIV/0!</v>
      </c>
      <c r="N170" s="6">
        <f t="shared" si="6"/>
        <v>0</v>
      </c>
      <c r="O170" s="6">
        <f t="shared" si="7"/>
        <v>0</v>
      </c>
      <c r="P170" s="6">
        <f t="shared" si="8"/>
        <v>0</v>
      </c>
      <c r="Q170" s="6">
        <f t="shared" si="9"/>
        <v>0</v>
      </c>
      <c r="R170" s="6" t="e">
        <f t="shared" si="41"/>
        <v>#DIV/0!</v>
      </c>
      <c r="S170" s="6" t="e">
        <f t="shared" si="10"/>
        <v>#DIV/0!</v>
      </c>
      <c r="T170" s="11" t="e">
        <f>SUM($R$126:R170)/($E$87)</f>
        <v>#DIV/0!</v>
      </c>
      <c r="U170" s="89" t="e">
        <f t="shared" si="11"/>
        <v>#DIV/0!</v>
      </c>
      <c r="V170" s="6" t="e">
        <f t="shared" si="12"/>
        <v>#DIV/0!</v>
      </c>
      <c r="W170" s="6" t="e">
        <f t="shared" si="42"/>
        <v>#DIV/0!</v>
      </c>
      <c r="X170" s="6" t="e">
        <f t="shared" si="13"/>
        <v>#DIV/0!</v>
      </c>
      <c r="Y170" s="6" t="e">
        <f t="shared" si="14"/>
        <v>#DIV/0!</v>
      </c>
      <c r="Z170" s="90" t="e">
        <f t="shared" si="15"/>
        <v>#DIV/0!</v>
      </c>
      <c r="AA170" s="89" t="e">
        <f t="shared" si="16"/>
        <v>#DIV/0!</v>
      </c>
      <c r="AB170" s="6" t="e">
        <f t="shared" si="17"/>
        <v>#DIV/0!</v>
      </c>
      <c r="AC170" s="6" t="e">
        <f t="shared" si="52"/>
        <v>#NUM!</v>
      </c>
      <c r="AD170" s="90" t="e">
        <f t="shared" si="19"/>
        <v>#NUM!</v>
      </c>
      <c r="AE170" s="6" t="e">
        <f t="shared" si="20"/>
        <v>#DIV/0!</v>
      </c>
      <c r="AF170" s="6" t="e">
        <f>IF(SUM(AE171:$AE$245)-SUM(AJ171:$AK$245,AN171:$AN$245)&gt;$E$42,0,IF(SUM($AF$125:AF169)=0,$E$42-(SUM(AE171:$AE$245)-SUM(AJ171:$AK$245,AN171:$AN$245)),AE170-SUM(AJ170:AK170,AN170)))</f>
        <v>#DIV/0!</v>
      </c>
      <c r="AG170" s="89" t="e">
        <f t="shared" si="21"/>
        <v>#DIV/0!</v>
      </c>
      <c r="AH170" s="6" t="e">
        <f t="shared" si="43"/>
        <v>#DIV/0!</v>
      </c>
      <c r="AI170" s="6" t="e">
        <f t="shared" si="22"/>
        <v>#DIV/0!</v>
      </c>
      <c r="AJ170" s="6">
        <f t="shared" si="23"/>
        <v>0</v>
      </c>
      <c r="AK170" s="90">
        <f t="shared" si="24"/>
        <v>0</v>
      </c>
      <c r="AL170" s="6" t="e">
        <f t="shared" si="25"/>
        <v>#DIV/0!</v>
      </c>
      <c r="AM170" s="6" t="e">
        <f t="shared" si="44"/>
        <v>#NUM!</v>
      </c>
      <c r="AN170" s="6">
        <f t="shared" si="26"/>
        <v>0</v>
      </c>
      <c r="AO170" s="6" t="e">
        <f t="shared" si="27"/>
        <v>#DIV/0!</v>
      </c>
      <c r="AP170" s="15">
        <f>IFERROR(XIRR($AO$125:AO170,$D$125:D170),-100%)</f>
        <v>-1</v>
      </c>
      <c r="AQ170" s="129" t="e">
        <f t="shared" si="28"/>
        <v>#NUM!</v>
      </c>
      <c r="AR170" s="300">
        <v>0</v>
      </c>
      <c r="AS170" s="130" t="e">
        <f t="shared" si="53"/>
        <v>#DIV/0!</v>
      </c>
      <c r="AT170" s="10">
        <f>IFERROR(XIRR($AS$125:$AS170,$D$125:$D170),-100%)</f>
        <v>-1</v>
      </c>
      <c r="AU170" s="300">
        <v>0</v>
      </c>
      <c r="AV170" s="130" t="e">
        <f t="shared" si="54"/>
        <v>#DIV/0!</v>
      </c>
      <c r="AW170" s="131">
        <f>IFERROR(XIRR($AV$125:$AV170,$D$125:$D170),-100%)</f>
        <v>-1</v>
      </c>
      <c r="AX170" s="213">
        <f t="shared" si="45"/>
        <v>0</v>
      </c>
      <c r="AY170" s="200" t="e">
        <f t="shared" si="55"/>
        <v>#DIV/0!</v>
      </c>
      <c r="AZ170" s="159">
        <f t="shared" si="56"/>
        <v>0</v>
      </c>
      <c r="BA170" s="148" t="e">
        <f t="shared" si="46"/>
        <v>#NUM!</v>
      </c>
      <c r="BB170" s="6" t="e">
        <f t="shared" si="57"/>
        <v>#NUM!</v>
      </c>
      <c r="BC170" s="6" t="e">
        <f t="shared" si="58"/>
        <v>#NUM!</v>
      </c>
      <c r="BD170" s="149" t="e">
        <f t="shared" si="35"/>
        <v>#NUM!</v>
      </c>
      <c r="BE170" s="148" t="e">
        <f t="shared" si="47"/>
        <v>#NUM!</v>
      </c>
      <c r="BF170" s="6" t="e">
        <f t="shared" si="59"/>
        <v>#NUM!</v>
      </c>
      <c r="BG170" s="6" t="e">
        <f t="shared" si="60"/>
        <v>#DIV/0!</v>
      </c>
      <c r="BH170" s="6" t="e">
        <f t="shared" si="48"/>
        <v>#NUM!</v>
      </c>
      <c r="BI170" s="138" t="e">
        <f t="shared" si="61"/>
        <v>#DIV/0!</v>
      </c>
    </row>
    <row r="171" spans="1:61" x14ac:dyDescent="0.25">
      <c r="A171"/>
      <c r="B171" s="9">
        <f t="shared" si="50"/>
        <v>4</v>
      </c>
      <c r="C171" s="13">
        <v>46</v>
      </c>
      <c r="D171" s="12">
        <f t="shared" si="39"/>
        <v>1430</v>
      </c>
      <c r="E171" s="6">
        <f>INDEX(GC!$G$25:$G$144,MATCH($D171,GC!$C$25:$C$144,0))</f>
        <v>0</v>
      </c>
      <c r="F171" s="6">
        <f>INDEX(GC!$I$25:$I$144,MATCH($D171,GC!$C$25:$C$144,0))</f>
        <v>0</v>
      </c>
      <c r="G171" s="6">
        <f t="shared" si="40"/>
        <v>0</v>
      </c>
      <c r="H171" s="6">
        <f t="shared" si="2"/>
        <v>0</v>
      </c>
      <c r="I171" s="6">
        <f t="shared" si="51"/>
        <v>0</v>
      </c>
      <c r="J171" s="6">
        <f>IF(SUM($I$126:I171)&gt;$E$61, SUM($I$126:I171)-SUM($J$125:J170)-$E$61,0)</f>
        <v>0</v>
      </c>
      <c r="K171" s="6" t="e">
        <f t="shared" si="3"/>
        <v>#DIV/0!</v>
      </c>
      <c r="L171" s="6" t="e">
        <f t="shared" si="4"/>
        <v>#DIV/0!</v>
      </c>
      <c r="M171" s="6" t="e">
        <f t="shared" si="5"/>
        <v>#DIV/0!</v>
      </c>
      <c r="N171" s="6">
        <f t="shared" si="6"/>
        <v>0</v>
      </c>
      <c r="O171" s="6">
        <f t="shared" si="7"/>
        <v>0</v>
      </c>
      <c r="P171" s="6">
        <f t="shared" si="8"/>
        <v>0</v>
      </c>
      <c r="Q171" s="6">
        <f t="shared" si="9"/>
        <v>0</v>
      </c>
      <c r="R171" s="6" t="e">
        <f t="shared" si="41"/>
        <v>#DIV/0!</v>
      </c>
      <c r="S171" s="6" t="e">
        <f t="shared" si="10"/>
        <v>#DIV/0!</v>
      </c>
      <c r="T171" s="11" t="e">
        <f>SUM($R$126:R171)/($E$87)</f>
        <v>#DIV/0!</v>
      </c>
      <c r="U171" s="89" t="e">
        <f t="shared" si="11"/>
        <v>#DIV/0!</v>
      </c>
      <c r="V171" s="6" t="e">
        <f t="shared" si="12"/>
        <v>#DIV/0!</v>
      </c>
      <c r="W171" s="6" t="e">
        <f t="shared" si="42"/>
        <v>#DIV/0!</v>
      </c>
      <c r="X171" s="6" t="e">
        <f t="shared" si="13"/>
        <v>#DIV/0!</v>
      </c>
      <c r="Y171" s="6" t="e">
        <f t="shared" si="14"/>
        <v>#DIV/0!</v>
      </c>
      <c r="Z171" s="90" t="e">
        <f t="shared" si="15"/>
        <v>#DIV/0!</v>
      </c>
      <c r="AA171" s="89" t="e">
        <f t="shared" si="16"/>
        <v>#DIV/0!</v>
      </c>
      <c r="AB171" s="6" t="e">
        <f t="shared" si="17"/>
        <v>#DIV/0!</v>
      </c>
      <c r="AC171" s="6" t="e">
        <f t="shared" si="52"/>
        <v>#NUM!</v>
      </c>
      <c r="AD171" s="90" t="e">
        <f t="shared" si="19"/>
        <v>#NUM!</v>
      </c>
      <c r="AE171" s="6" t="e">
        <f t="shared" si="20"/>
        <v>#DIV/0!</v>
      </c>
      <c r="AF171" s="6" t="e">
        <f>IF(SUM(AE172:$AE$245)-SUM(AJ172:$AK$245,AN172:$AN$245)&gt;$E$42,0,IF(SUM($AF$125:AF170)=0,$E$42-(SUM(AE172:$AE$245)-SUM(AJ172:$AK$245,AN172:$AN$245)),AE171-SUM(AJ171:AK171,AN171)))</f>
        <v>#DIV/0!</v>
      </c>
      <c r="AG171" s="89" t="e">
        <f t="shared" si="21"/>
        <v>#DIV/0!</v>
      </c>
      <c r="AH171" s="6" t="e">
        <f t="shared" si="43"/>
        <v>#DIV/0!</v>
      </c>
      <c r="AI171" s="6" t="e">
        <f t="shared" si="22"/>
        <v>#DIV/0!</v>
      </c>
      <c r="AJ171" s="6">
        <f t="shared" si="23"/>
        <v>0</v>
      </c>
      <c r="AK171" s="90">
        <f t="shared" si="24"/>
        <v>0</v>
      </c>
      <c r="AL171" s="6" t="e">
        <f t="shared" si="25"/>
        <v>#DIV/0!</v>
      </c>
      <c r="AM171" s="6" t="e">
        <f t="shared" si="44"/>
        <v>#NUM!</v>
      </c>
      <c r="AN171" s="6">
        <f t="shared" si="26"/>
        <v>0</v>
      </c>
      <c r="AO171" s="6" t="e">
        <f t="shared" si="27"/>
        <v>#DIV/0!</v>
      </c>
      <c r="AP171" s="15">
        <f>IFERROR(XIRR($AO$125:AO171,$D$125:D171),-100%)</f>
        <v>-1</v>
      </c>
      <c r="AQ171" s="129" t="e">
        <f t="shared" si="28"/>
        <v>#NUM!</v>
      </c>
      <c r="AR171" s="300">
        <v>0</v>
      </c>
      <c r="AS171" s="130" t="e">
        <f t="shared" si="53"/>
        <v>#DIV/0!</v>
      </c>
      <c r="AT171" s="10">
        <f>IFERROR(XIRR($AS$125:$AS171,$D$125:$D171),-100%)</f>
        <v>-1</v>
      </c>
      <c r="AU171" s="300">
        <v>0</v>
      </c>
      <c r="AV171" s="130" t="e">
        <f t="shared" si="54"/>
        <v>#DIV/0!</v>
      </c>
      <c r="AW171" s="131">
        <f>IFERROR(XIRR($AV$125:$AV171,$D$125:$D171),-100%)</f>
        <v>-1</v>
      </c>
      <c r="AX171" s="213">
        <f t="shared" si="45"/>
        <v>0</v>
      </c>
      <c r="AY171" s="200" t="e">
        <f t="shared" si="55"/>
        <v>#DIV/0!</v>
      </c>
      <c r="AZ171" s="159">
        <f t="shared" si="56"/>
        <v>0</v>
      </c>
      <c r="BA171" s="148" t="e">
        <f t="shared" si="46"/>
        <v>#NUM!</v>
      </c>
      <c r="BB171" s="6" t="e">
        <f t="shared" si="57"/>
        <v>#NUM!</v>
      </c>
      <c r="BC171" s="6" t="e">
        <f t="shared" si="58"/>
        <v>#NUM!</v>
      </c>
      <c r="BD171" s="149" t="e">
        <f t="shared" si="35"/>
        <v>#NUM!</v>
      </c>
      <c r="BE171" s="148" t="e">
        <f t="shared" si="47"/>
        <v>#NUM!</v>
      </c>
      <c r="BF171" s="6" t="e">
        <f t="shared" si="59"/>
        <v>#NUM!</v>
      </c>
      <c r="BG171" s="6" t="e">
        <f t="shared" si="60"/>
        <v>#DIV/0!</v>
      </c>
      <c r="BH171" s="6" t="e">
        <f t="shared" si="48"/>
        <v>#NUM!</v>
      </c>
      <c r="BI171" s="138" t="e">
        <f t="shared" si="61"/>
        <v>#DIV/0!</v>
      </c>
    </row>
    <row r="172" spans="1:61" x14ac:dyDescent="0.25">
      <c r="A172"/>
      <c r="B172" s="9">
        <f t="shared" si="50"/>
        <v>4</v>
      </c>
      <c r="C172" s="13">
        <v>47</v>
      </c>
      <c r="D172" s="12">
        <f t="shared" si="39"/>
        <v>1461</v>
      </c>
      <c r="E172" s="6">
        <f>INDEX(GC!$G$25:$G$144,MATCH($D172,GC!$C$25:$C$144,0))</f>
        <v>0</v>
      </c>
      <c r="F172" s="6">
        <f>INDEX(GC!$I$25:$I$144,MATCH($D172,GC!$C$25:$C$144,0))</f>
        <v>0</v>
      </c>
      <c r="G172" s="6">
        <f t="shared" si="40"/>
        <v>0</v>
      </c>
      <c r="H172" s="6">
        <f t="shared" si="2"/>
        <v>0</v>
      </c>
      <c r="I172" s="6">
        <f t="shared" si="51"/>
        <v>0</v>
      </c>
      <c r="J172" s="6">
        <f>IF(SUM($I$126:I172)&gt;$E$61, SUM($I$126:I172)-SUM($J$125:J171)-$E$61,0)</f>
        <v>0</v>
      </c>
      <c r="K172" s="6" t="e">
        <f t="shared" si="3"/>
        <v>#DIV/0!</v>
      </c>
      <c r="L172" s="6" t="e">
        <f t="shared" si="4"/>
        <v>#DIV/0!</v>
      </c>
      <c r="M172" s="6" t="e">
        <f t="shared" si="5"/>
        <v>#DIV/0!</v>
      </c>
      <c r="N172" s="6">
        <f t="shared" si="6"/>
        <v>0</v>
      </c>
      <c r="O172" s="6">
        <f t="shared" si="7"/>
        <v>0</v>
      </c>
      <c r="P172" s="6">
        <f t="shared" si="8"/>
        <v>0</v>
      </c>
      <c r="Q172" s="6">
        <f t="shared" si="9"/>
        <v>0</v>
      </c>
      <c r="R172" s="6" t="e">
        <f t="shared" si="41"/>
        <v>#DIV/0!</v>
      </c>
      <c r="S172" s="6" t="e">
        <f t="shared" si="10"/>
        <v>#DIV/0!</v>
      </c>
      <c r="T172" s="11" t="e">
        <f>SUM($R$126:R172)/($E$87)</f>
        <v>#DIV/0!</v>
      </c>
      <c r="U172" s="89" t="e">
        <f t="shared" si="11"/>
        <v>#DIV/0!</v>
      </c>
      <c r="V172" s="6" t="e">
        <f t="shared" si="12"/>
        <v>#DIV/0!</v>
      </c>
      <c r="W172" s="6" t="e">
        <f t="shared" si="42"/>
        <v>#DIV/0!</v>
      </c>
      <c r="X172" s="6" t="e">
        <f t="shared" si="13"/>
        <v>#DIV/0!</v>
      </c>
      <c r="Y172" s="6" t="e">
        <f t="shared" si="14"/>
        <v>#DIV/0!</v>
      </c>
      <c r="Z172" s="90" t="e">
        <f t="shared" si="15"/>
        <v>#DIV/0!</v>
      </c>
      <c r="AA172" s="89" t="e">
        <f t="shared" si="16"/>
        <v>#DIV/0!</v>
      </c>
      <c r="AB172" s="6" t="e">
        <f t="shared" si="17"/>
        <v>#DIV/0!</v>
      </c>
      <c r="AC172" s="6" t="e">
        <f t="shared" si="52"/>
        <v>#NUM!</v>
      </c>
      <c r="AD172" s="90" t="e">
        <f t="shared" si="19"/>
        <v>#NUM!</v>
      </c>
      <c r="AE172" s="6" t="e">
        <f t="shared" si="20"/>
        <v>#DIV/0!</v>
      </c>
      <c r="AF172" s="6" t="e">
        <f>IF(SUM(AE173:$AE$245)-SUM(AJ173:$AK$245,AN173:$AN$245)&gt;$E$42,0,IF(SUM($AF$125:AF171)=0,$E$42-(SUM(AE173:$AE$245)-SUM(AJ173:$AK$245,AN173:$AN$245)),AE172-SUM(AJ172:AK172,AN172)))</f>
        <v>#DIV/0!</v>
      </c>
      <c r="AG172" s="89" t="e">
        <f t="shared" si="21"/>
        <v>#DIV/0!</v>
      </c>
      <c r="AH172" s="6" t="e">
        <f t="shared" si="43"/>
        <v>#DIV/0!</v>
      </c>
      <c r="AI172" s="6" t="e">
        <f t="shared" si="22"/>
        <v>#DIV/0!</v>
      </c>
      <c r="AJ172" s="6">
        <f t="shared" si="23"/>
        <v>0</v>
      </c>
      <c r="AK172" s="90">
        <f t="shared" si="24"/>
        <v>0</v>
      </c>
      <c r="AL172" s="6" t="e">
        <f t="shared" si="25"/>
        <v>#DIV/0!</v>
      </c>
      <c r="AM172" s="6" t="e">
        <f t="shared" si="44"/>
        <v>#NUM!</v>
      </c>
      <c r="AN172" s="6">
        <f t="shared" si="26"/>
        <v>0</v>
      </c>
      <c r="AO172" s="6" t="e">
        <f t="shared" si="27"/>
        <v>#DIV/0!</v>
      </c>
      <c r="AP172" s="15">
        <f>IFERROR(XIRR($AO$125:AO172,$D$125:D172),-100%)</f>
        <v>-1</v>
      </c>
      <c r="AQ172" s="129" t="e">
        <f t="shared" si="28"/>
        <v>#NUM!</v>
      </c>
      <c r="AR172" s="300">
        <v>0</v>
      </c>
      <c r="AS172" s="130" t="e">
        <f t="shared" si="53"/>
        <v>#DIV/0!</v>
      </c>
      <c r="AT172" s="10">
        <f>IFERROR(XIRR($AS$125:$AS172,$D$125:$D172),-100%)</f>
        <v>-1</v>
      </c>
      <c r="AU172" s="300">
        <v>0</v>
      </c>
      <c r="AV172" s="130" t="e">
        <f t="shared" si="54"/>
        <v>#DIV/0!</v>
      </c>
      <c r="AW172" s="131">
        <f>IFERROR(XIRR($AV$125:$AV172,$D$125:$D172),-100%)</f>
        <v>-1</v>
      </c>
      <c r="AX172" s="213">
        <f t="shared" si="45"/>
        <v>0</v>
      </c>
      <c r="AY172" s="200" t="e">
        <f t="shared" si="55"/>
        <v>#DIV/0!</v>
      </c>
      <c r="AZ172" s="159">
        <f t="shared" si="56"/>
        <v>0</v>
      </c>
      <c r="BA172" s="148" t="e">
        <f t="shared" si="46"/>
        <v>#NUM!</v>
      </c>
      <c r="BB172" s="6" t="e">
        <f t="shared" si="57"/>
        <v>#NUM!</v>
      </c>
      <c r="BC172" s="6" t="e">
        <f t="shared" si="58"/>
        <v>#NUM!</v>
      </c>
      <c r="BD172" s="149" t="e">
        <f t="shared" si="35"/>
        <v>#NUM!</v>
      </c>
      <c r="BE172" s="148" t="e">
        <f t="shared" si="47"/>
        <v>#NUM!</v>
      </c>
      <c r="BF172" s="6" t="e">
        <f t="shared" si="59"/>
        <v>#NUM!</v>
      </c>
      <c r="BG172" s="6" t="e">
        <f t="shared" si="60"/>
        <v>#DIV/0!</v>
      </c>
      <c r="BH172" s="6" t="e">
        <f t="shared" si="48"/>
        <v>#NUM!</v>
      </c>
      <c r="BI172" s="138" t="e">
        <f t="shared" si="61"/>
        <v>#DIV/0!</v>
      </c>
    </row>
    <row r="173" spans="1:61" x14ac:dyDescent="0.25">
      <c r="A173"/>
      <c r="B173" s="9">
        <f t="shared" si="50"/>
        <v>4</v>
      </c>
      <c r="C173" s="13">
        <v>48</v>
      </c>
      <c r="D173" s="12">
        <f t="shared" si="39"/>
        <v>1492</v>
      </c>
      <c r="E173" s="6">
        <f>INDEX(GC!$G$25:$G$144,MATCH($D173,GC!$C$25:$C$144,0))</f>
        <v>0</v>
      </c>
      <c r="F173" s="6">
        <f>INDEX(GC!$I$25:$I$144,MATCH($D173,GC!$C$25:$C$144,0))</f>
        <v>0</v>
      </c>
      <c r="G173" s="6">
        <f t="shared" si="40"/>
        <v>0</v>
      </c>
      <c r="H173" s="6">
        <f t="shared" si="2"/>
        <v>0</v>
      </c>
      <c r="I173" s="6">
        <f t="shared" si="51"/>
        <v>0</v>
      </c>
      <c r="J173" s="6">
        <f>IF(SUM($I$126:I173)&gt;$E$61, SUM($I$126:I173)-SUM($J$125:J172)-$E$61,0)</f>
        <v>0</v>
      </c>
      <c r="K173" s="6" t="e">
        <f t="shared" si="3"/>
        <v>#DIV/0!</v>
      </c>
      <c r="L173" s="6" t="e">
        <f t="shared" si="4"/>
        <v>#DIV/0!</v>
      </c>
      <c r="M173" s="6" t="e">
        <f t="shared" si="5"/>
        <v>#DIV/0!</v>
      </c>
      <c r="N173" s="6">
        <f t="shared" si="6"/>
        <v>0</v>
      </c>
      <c r="O173" s="6">
        <f t="shared" si="7"/>
        <v>0</v>
      </c>
      <c r="P173" s="6">
        <f t="shared" si="8"/>
        <v>0</v>
      </c>
      <c r="Q173" s="6">
        <f t="shared" si="9"/>
        <v>0</v>
      </c>
      <c r="R173" s="6" t="e">
        <f t="shared" si="41"/>
        <v>#DIV/0!</v>
      </c>
      <c r="S173" s="6" t="e">
        <f t="shared" si="10"/>
        <v>#DIV/0!</v>
      </c>
      <c r="T173" s="11" t="e">
        <f>SUM($R$126:R173)/($E$87)</f>
        <v>#DIV/0!</v>
      </c>
      <c r="U173" s="89" t="e">
        <f t="shared" si="11"/>
        <v>#DIV/0!</v>
      </c>
      <c r="V173" s="6" t="e">
        <f t="shared" si="12"/>
        <v>#DIV/0!</v>
      </c>
      <c r="W173" s="6" t="e">
        <f t="shared" si="42"/>
        <v>#DIV/0!</v>
      </c>
      <c r="X173" s="6" t="e">
        <f t="shared" si="13"/>
        <v>#DIV/0!</v>
      </c>
      <c r="Y173" s="6" t="e">
        <f t="shared" si="14"/>
        <v>#DIV/0!</v>
      </c>
      <c r="Z173" s="90" t="e">
        <f t="shared" si="15"/>
        <v>#DIV/0!</v>
      </c>
      <c r="AA173" s="89" t="e">
        <f t="shared" si="16"/>
        <v>#DIV/0!</v>
      </c>
      <c r="AB173" s="6" t="e">
        <f t="shared" si="17"/>
        <v>#DIV/0!</v>
      </c>
      <c r="AC173" s="6" t="e">
        <f t="shared" si="52"/>
        <v>#NUM!</v>
      </c>
      <c r="AD173" s="90" t="e">
        <f t="shared" si="19"/>
        <v>#NUM!</v>
      </c>
      <c r="AE173" s="6" t="e">
        <f t="shared" si="20"/>
        <v>#DIV/0!</v>
      </c>
      <c r="AF173" s="6" t="e">
        <f>IF(SUM(AE174:$AE$245)-SUM(AJ174:$AK$245,AN174:$AN$245)&gt;$E$42,0,IF(SUM($AF$125:AF172)=0,$E$42-(SUM(AE174:$AE$245)-SUM(AJ174:$AK$245,AN174:$AN$245)),AE173-SUM(AJ173:AK173,AN173)))</f>
        <v>#DIV/0!</v>
      </c>
      <c r="AG173" s="89" t="e">
        <f t="shared" si="21"/>
        <v>#DIV/0!</v>
      </c>
      <c r="AH173" s="6" t="e">
        <f t="shared" si="43"/>
        <v>#DIV/0!</v>
      </c>
      <c r="AI173" s="6" t="e">
        <f t="shared" si="22"/>
        <v>#DIV/0!</v>
      </c>
      <c r="AJ173" s="6">
        <f t="shared" si="23"/>
        <v>0</v>
      </c>
      <c r="AK173" s="90">
        <f t="shared" si="24"/>
        <v>0</v>
      </c>
      <c r="AL173" s="6" t="e">
        <f t="shared" si="25"/>
        <v>#DIV/0!</v>
      </c>
      <c r="AM173" s="6" t="e">
        <f t="shared" si="44"/>
        <v>#NUM!</v>
      </c>
      <c r="AN173" s="6">
        <f t="shared" si="26"/>
        <v>0</v>
      </c>
      <c r="AO173" s="6" t="e">
        <f t="shared" si="27"/>
        <v>#DIV/0!</v>
      </c>
      <c r="AP173" s="15">
        <f>IFERROR(XIRR($AO$125:AO173,$D$125:D173),-100%)</f>
        <v>-1</v>
      </c>
      <c r="AQ173" s="129" t="e">
        <f t="shared" si="28"/>
        <v>#NUM!</v>
      </c>
      <c r="AR173" s="300">
        <v>0</v>
      </c>
      <c r="AS173" s="130" t="e">
        <f t="shared" si="53"/>
        <v>#DIV/0!</v>
      </c>
      <c r="AT173" s="10">
        <f>IFERROR(XIRR($AS$125:$AS173,$D$125:$D173),-100%)</f>
        <v>-1</v>
      </c>
      <c r="AU173" s="300">
        <v>0</v>
      </c>
      <c r="AV173" s="130" t="e">
        <f t="shared" si="54"/>
        <v>#DIV/0!</v>
      </c>
      <c r="AW173" s="131">
        <f>IFERROR(XIRR($AV$125:$AV173,$D$125:$D173),-100%)</f>
        <v>-1</v>
      </c>
      <c r="AX173" s="213">
        <f t="shared" si="45"/>
        <v>0</v>
      </c>
      <c r="AY173" s="200" t="e">
        <f t="shared" si="55"/>
        <v>#DIV/0!</v>
      </c>
      <c r="AZ173" s="159">
        <f t="shared" si="56"/>
        <v>0</v>
      </c>
      <c r="BA173" s="148" t="e">
        <f t="shared" si="46"/>
        <v>#NUM!</v>
      </c>
      <c r="BB173" s="6" t="e">
        <f t="shared" si="57"/>
        <v>#NUM!</v>
      </c>
      <c r="BC173" s="6" t="e">
        <f t="shared" si="58"/>
        <v>#NUM!</v>
      </c>
      <c r="BD173" s="149" t="e">
        <f t="shared" si="35"/>
        <v>#NUM!</v>
      </c>
      <c r="BE173" s="148" t="e">
        <f t="shared" si="47"/>
        <v>#NUM!</v>
      </c>
      <c r="BF173" s="6" t="e">
        <f t="shared" si="59"/>
        <v>#NUM!</v>
      </c>
      <c r="BG173" s="6" t="e">
        <f t="shared" si="60"/>
        <v>#DIV/0!</v>
      </c>
      <c r="BH173" s="6" t="e">
        <f t="shared" si="48"/>
        <v>#NUM!</v>
      </c>
      <c r="BI173" s="138" t="e">
        <f t="shared" si="61"/>
        <v>#DIV/0!</v>
      </c>
    </row>
    <row r="174" spans="1:61" x14ac:dyDescent="0.25">
      <c r="A174"/>
      <c r="B174" s="9">
        <f t="shared" si="50"/>
        <v>5</v>
      </c>
      <c r="C174" s="13">
        <v>49</v>
      </c>
      <c r="D174" s="12">
        <f t="shared" si="39"/>
        <v>1521</v>
      </c>
      <c r="E174" s="6">
        <f>INDEX(GC!$G$25:$G$144,MATCH($D174,GC!$C$25:$C$144,0))</f>
        <v>0</v>
      </c>
      <c r="F174" s="6">
        <f>INDEX(GC!$I$25:$I$144,MATCH($D174,GC!$C$25:$C$144,0))</f>
        <v>0</v>
      </c>
      <c r="G174" s="6">
        <f t="shared" si="40"/>
        <v>0</v>
      </c>
      <c r="H174" s="6">
        <f t="shared" si="2"/>
        <v>0</v>
      </c>
      <c r="I174" s="6">
        <f t="shared" si="51"/>
        <v>0</v>
      </c>
      <c r="J174" s="6">
        <f>IF(SUM($I$126:I174)&gt;$E$61, SUM($I$126:I174)-SUM($J$125:J173)-$E$61,0)</f>
        <v>0</v>
      </c>
      <c r="K174" s="6" t="e">
        <f t="shared" si="3"/>
        <v>#DIV/0!</v>
      </c>
      <c r="L174" s="6" t="e">
        <f t="shared" si="4"/>
        <v>#DIV/0!</v>
      </c>
      <c r="M174" s="6" t="e">
        <f t="shared" si="5"/>
        <v>#DIV/0!</v>
      </c>
      <c r="N174" s="6">
        <f t="shared" si="6"/>
        <v>0</v>
      </c>
      <c r="O174" s="6">
        <f t="shared" si="7"/>
        <v>0</v>
      </c>
      <c r="P174" s="6">
        <f t="shared" si="8"/>
        <v>0</v>
      </c>
      <c r="Q174" s="6">
        <f t="shared" si="9"/>
        <v>0</v>
      </c>
      <c r="R174" s="6" t="e">
        <f t="shared" si="41"/>
        <v>#DIV/0!</v>
      </c>
      <c r="S174" s="6" t="e">
        <f t="shared" si="10"/>
        <v>#DIV/0!</v>
      </c>
      <c r="T174" s="11" t="e">
        <f>SUM($R$126:R174)/($E$87)</f>
        <v>#DIV/0!</v>
      </c>
      <c r="U174" s="89" t="e">
        <f t="shared" si="11"/>
        <v>#DIV/0!</v>
      </c>
      <c r="V174" s="6" t="e">
        <f t="shared" si="12"/>
        <v>#DIV/0!</v>
      </c>
      <c r="W174" s="6" t="e">
        <f t="shared" si="42"/>
        <v>#DIV/0!</v>
      </c>
      <c r="X174" s="6" t="e">
        <f t="shared" si="13"/>
        <v>#DIV/0!</v>
      </c>
      <c r="Y174" s="6" t="e">
        <f t="shared" si="14"/>
        <v>#DIV/0!</v>
      </c>
      <c r="Z174" s="90" t="e">
        <f t="shared" si="15"/>
        <v>#DIV/0!</v>
      </c>
      <c r="AA174" s="89" t="e">
        <f t="shared" si="16"/>
        <v>#DIV/0!</v>
      </c>
      <c r="AB174" s="6" t="e">
        <f t="shared" si="17"/>
        <v>#DIV/0!</v>
      </c>
      <c r="AC174" s="6" t="e">
        <f t="shared" si="52"/>
        <v>#NUM!</v>
      </c>
      <c r="AD174" s="90" t="e">
        <f t="shared" si="19"/>
        <v>#NUM!</v>
      </c>
      <c r="AE174" s="6" t="e">
        <f t="shared" si="20"/>
        <v>#DIV/0!</v>
      </c>
      <c r="AF174" s="6" t="e">
        <f>IF(SUM(AE175:$AE$245)-SUM(AJ175:$AK$245,AN175:$AN$245)&gt;$E$42,0,IF(SUM($AF$125:AF173)=0,$E$42-(SUM(AE175:$AE$245)-SUM(AJ175:$AK$245,AN175:$AN$245)),AE174-SUM(AJ174:AK174,AN174)))</f>
        <v>#DIV/0!</v>
      </c>
      <c r="AG174" s="89" t="e">
        <f t="shared" si="21"/>
        <v>#DIV/0!</v>
      </c>
      <c r="AH174" s="6" t="e">
        <f t="shared" si="43"/>
        <v>#DIV/0!</v>
      </c>
      <c r="AI174" s="6" t="e">
        <f t="shared" si="22"/>
        <v>#DIV/0!</v>
      </c>
      <c r="AJ174" s="6">
        <f t="shared" si="23"/>
        <v>0</v>
      </c>
      <c r="AK174" s="90">
        <f t="shared" si="24"/>
        <v>0</v>
      </c>
      <c r="AL174" s="6" t="e">
        <f t="shared" si="25"/>
        <v>#DIV/0!</v>
      </c>
      <c r="AM174" s="6" t="e">
        <f t="shared" si="44"/>
        <v>#NUM!</v>
      </c>
      <c r="AN174" s="6">
        <f t="shared" si="26"/>
        <v>0</v>
      </c>
      <c r="AO174" s="6" t="e">
        <f t="shared" si="27"/>
        <v>#DIV/0!</v>
      </c>
      <c r="AP174" s="15">
        <f>IFERROR(XIRR($AO$125:AO174,$D$125:D174),-100%)</f>
        <v>-1</v>
      </c>
      <c r="AQ174" s="129" t="e">
        <f t="shared" si="28"/>
        <v>#NUM!</v>
      </c>
      <c r="AR174" s="300">
        <v>0</v>
      </c>
      <c r="AS174" s="130" t="e">
        <f t="shared" si="53"/>
        <v>#DIV/0!</v>
      </c>
      <c r="AT174" s="10">
        <f>IFERROR(XIRR($AS$125:$AS174,$D$125:$D174),-100%)</f>
        <v>-1</v>
      </c>
      <c r="AU174" s="300">
        <v>0</v>
      </c>
      <c r="AV174" s="130" t="e">
        <f t="shared" si="54"/>
        <v>#DIV/0!</v>
      </c>
      <c r="AW174" s="131">
        <f>IFERROR(XIRR($AV$125:$AV174,$D$125:$D174),-100%)</f>
        <v>-1</v>
      </c>
      <c r="AX174" s="213">
        <f t="shared" si="45"/>
        <v>0</v>
      </c>
      <c r="AY174" s="200" t="e">
        <f t="shared" si="55"/>
        <v>#DIV/0!</v>
      </c>
      <c r="AZ174" s="159">
        <f t="shared" si="56"/>
        <v>0</v>
      </c>
      <c r="BA174" s="148" t="e">
        <f t="shared" si="46"/>
        <v>#NUM!</v>
      </c>
      <c r="BB174" s="6" t="e">
        <f t="shared" si="57"/>
        <v>#NUM!</v>
      </c>
      <c r="BC174" s="6" t="e">
        <f t="shared" si="58"/>
        <v>#NUM!</v>
      </c>
      <c r="BD174" s="149" t="e">
        <f t="shared" si="35"/>
        <v>#NUM!</v>
      </c>
      <c r="BE174" s="148" t="e">
        <f t="shared" si="47"/>
        <v>#NUM!</v>
      </c>
      <c r="BF174" s="6" t="e">
        <f t="shared" si="59"/>
        <v>#NUM!</v>
      </c>
      <c r="BG174" s="6" t="e">
        <f t="shared" si="60"/>
        <v>#DIV/0!</v>
      </c>
      <c r="BH174" s="6" t="e">
        <f t="shared" si="48"/>
        <v>#NUM!</v>
      </c>
      <c r="BI174" s="138" t="e">
        <f t="shared" si="61"/>
        <v>#DIV/0!</v>
      </c>
    </row>
    <row r="175" spans="1:61" x14ac:dyDescent="0.25">
      <c r="A175"/>
      <c r="B175" s="9">
        <f t="shared" si="50"/>
        <v>5</v>
      </c>
      <c r="C175" s="13">
        <v>50</v>
      </c>
      <c r="D175" s="12">
        <f t="shared" si="39"/>
        <v>1552</v>
      </c>
      <c r="E175" s="6">
        <f>INDEX(GC!$G$25:$G$144,MATCH($D175,GC!$C$25:$C$144,0))</f>
        <v>0</v>
      </c>
      <c r="F175" s="6">
        <f>INDEX(GC!$I$25:$I$144,MATCH($D175,GC!$C$25:$C$144,0))</f>
        <v>0</v>
      </c>
      <c r="G175" s="6">
        <f t="shared" si="40"/>
        <v>0</v>
      </c>
      <c r="H175" s="6">
        <f t="shared" si="2"/>
        <v>0</v>
      </c>
      <c r="I175" s="6">
        <f t="shared" si="51"/>
        <v>0</v>
      </c>
      <c r="J175" s="6">
        <f>IF(SUM($I$126:I175)&gt;$E$61, SUM($I$126:I175)-SUM($J$125:J174)-$E$61,0)</f>
        <v>0</v>
      </c>
      <c r="K175" s="6" t="e">
        <f t="shared" si="3"/>
        <v>#DIV/0!</v>
      </c>
      <c r="L175" s="6" t="e">
        <f t="shared" si="4"/>
        <v>#DIV/0!</v>
      </c>
      <c r="M175" s="6" t="e">
        <f t="shared" si="5"/>
        <v>#DIV/0!</v>
      </c>
      <c r="N175" s="6">
        <f t="shared" si="6"/>
        <v>0</v>
      </c>
      <c r="O175" s="6">
        <f t="shared" si="7"/>
        <v>0</v>
      </c>
      <c r="P175" s="6">
        <f t="shared" si="8"/>
        <v>0</v>
      </c>
      <c r="Q175" s="6">
        <f t="shared" si="9"/>
        <v>0</v>
      </c>
      <c r="R175" s="6" t="e">
        <f t="shared" si="41"/>
        <v>#DIV/0!</v>
      </c>
      <c r="S175" s="6" t="e">
        <f t="shared" si="10"/>
        <v>#DIV/0!</v>
      </c>
      <c r="T175" s="11" t="e">
        <f>SUM($R$126:R175)/($E$87)</f>
        <v>#DIV/0!</v>
      </c>
      <c r="U175" s="89" t="e">
        <f t="shared" si="11"/>
        <v>#DIV/0!</v>
      </c>
      <c r="V175" s="6" t="e">
        <f t="shared" si="12"/>
        <v>#DIV/0!</v>
      </c>
      <c r="W175" s="6" t="e">
        <f t="shared" si="42"/>
        <v>#DIV/0!</v>
      </c>
      <c r="X175" s="6" t="e">
        <f t="shared" si="13"/>
        <v>#DIV/0!</v>
      </c>
      <c r="Y175" s="6" t="e">
        <f t="shared" si="14"/>
        <v>#DIV/0!</v>
      </c>
      <c r="Z175" s="90" t="e">
        <f t="shared" si="15"/>
        <v>#DIV/0!</v>
      </c>
      <c r="AA175" s="89" t="e">
        <f t="shared" si="16"/>
        <v>#DIV/0!</v>
      </c>
      <c r="AB175" s="6" t="e">
        <f t="shared" si="17"/>
        <v>#DIV/0!</v>
      </c>
      <c r="AC175" s="6" t="e">
        <f t="shared" si="52"/>
        <v>#NUM!</v>
      </c>
      <c r="AD175" s="90" t="e">
        <f t="shared" si="19"/>
        <v>#NUM!</v>
      </c>
      <c r="AE175" s="6" t="e">
        <f t="shared" si="20"/>
        <v>#DIV/0!</v>
      </c>
      <c r="AF175" s="6" t="e">
        <f>IF(SUM(AE176:$AE$245)-SUM(AJ176:$AK$245,AN176:$AN$245)&gt;$E$42,0,IF(SUM($AF$125:AF174)=0,$E$42-(SUM(AE176:$AE$245)-SUM(AJ176:$AK$245,AN176:$AN$245)),AE175-SUM(AJ175:AK175,AN175)))</f>
        <v>#DIV/0!</v>
      </c>
      <c r="AG175" s="89" t="e">
        <f t="shared" si="21"/>
        <v>#DIV/0!</v>
      </c>
      <c r="AH175" s="6" t="e">
        <f t="shared" si="43"/>
        <v>#DIV/0!</v>
      </c>
      <c r="AI175" s="6" t="e">
        <f t="shared" si="22"/>
        <v>#DIV/0!</v>
      </c>
      <c r="AJ175" s="6">
        <f t="shared" si="23"/>
        <v>0</v>
      </c>
      <c r="AK175" s="90">
        <f t="shared" si="24"/>
        <v>0</v>
      </c>
      <c r="AL175" s="6" t="e">
        <f t="shared" si="25"/>
        <v>#DIV/0!</v>
      </c>
      <c r="AM175" s="6" t="e">
        <f t="shared" si="44"/>
        <v>#NUM!</v>
      </c>
      <c r="AN175" s="6">
        <f t="shared" si="26"/>
        <v>0</v>
      </c>
      <c r="AO175" s="6" t="e">
        <f t="shared" si="27"/>
        <v>#DIV/0!</v>
      </c>
      <c r="AP175" s="15">
        <f>IFERROR(XIRR($AO$125:AO175,$D$125:D175),-100%)</f>
        <v>-1</v>
      </c>
      <c r="AQ175" s="129" t="e">
        <f t="shared" si="28"/>
        <v>#NUM!</v>
      </c>
      <c r="AR175" s="300">
        <v>0</v>
      </c>
      <c r="AS175" s="130" t="e">
        <f t="shared" si="53"/>
        <v>#DIV/0!</v>
      </c>
      <c r="AT175" s="10">
        <f>IFERROR(XIRR($AS$125:$AS175,$D$125:$D175),-100%)</f>
        <v>-1</v>
      </c>
      <c r="AU175" s="300">
        <v>0</v>
      </c>
      <c r="AV175" s="130" t="e">
        <f t="shared" si="54"/>
        <v>#DIV/0!</v>
      </c>
      <c r="AW175" s="131">
        <f>IFERROR(XIRR($AV$125:$AV175,$D$125:$D175),-100%)</f>
        <v>-1</v>
      </c>
      <c r="AX175" s="213">
        <f t="shared" si="45"/>
        <v>0</v>
      </c>
      <c r="AY175" s="200" t="e">
        <f t="shared" si="55"/>
        <v>#DIV/0!</v>
      </c>
      <c r="AZ175" s="159">
        <f t="shared" si="56"/>
        <v>0</v>
      </c>
      <c r="BA175" s="148" t="e">
        <f t="shared" si="46"/>
        <v>#NUM!</v>
      </c>
      <c r="BB175" s="6" t="e">
        <f t="shared" si="57"/>
        <v>#NUM!</v>
      </c>
      <c r="BC175" s="6" t="e">
        <f t="shared" si="58"/>
        <v>#NUM!</v>
      </c>
      <c r="BD175" s="149" t="e">
        <f t="shared" si="35"/>
        <v>#NUM!</v>
      </c>
      <c r="BE175" s="148" t="e">
        <f t="shared" si="47"/>
        <v>#NUM!</v>
      </c>
      <c r="BF175" s="6" t="e">
        <f t="shared" si="59"/>
        <v>#NUM!</v>
      </c>
      <c r="BG175" s="6" t="e">
        <f t="shared" si="60"/>
        <v>#DIV/0!</v>
      </c>
      <c r="BH175" s="6" t="e">
        <f t="shared" si="48"/>
        <v>#NUM!</v>
      </c>
      <c r="BI175" s="138" t="e">
        <f t="shared" si="61"/>
        <v>#DIV/0!</v>
      </c>
    </row>
    <row r="176" spans="1:61" x14ac:dyDescent="0.25">
      <c r="A176"/>
      <c r="B176" s="9">
        <f t="shared" si="50"/>
        <v>5</v>
      </c>
      <c r="C176" s="13">
        <v>51</v>
      </c>
      <c r="D176" s="12">
        <f t="shared" si="39"/>
        <v>1582</v>
      </c>
      <c r="E176" s="6">
        <f>INDEX(GC!$G$25:$G$144,MATCH($D176,GC!$C$25:$C$144,0))</f>
        <v>0</v>
      </c>
      <c r="F176" s="6">
        <f>INDEX(GC!$I$25:$I$144,MATCH($D176,GC!$C$25:$C$144,0))</f>
        <v>0</v>
      </c>
      <c r="G176" s="6">
        <f t="shared" si="40"/>
        <v>0</v>
      </c>
      <c r="H176" s="6">
        <f t="shared" si="2"/>
        <v>0</v>
      </c>
      <c r="I176" s="6">
        <f t="shared" si="51"/>
        <v>0</v>
      </c>
      <c r="J176" s="6">
        <f>IF(SUM($I$126:I176)&gt;$E$61, SUM($I$126:I176)-SUM($J$125:J175)-$E$61,0)</f>
        <v>0</v>
      </c>
      <c r="K176" s="6" t="e">
        <f t="shared" si="3"/>
        <v>#DIV/0!</v>
      </c>
      <c r="L176" s="6" t="e">
        <f t="shared" si="4"/>
        <v>#DIV/0!</v>
      </c>
      <c r="M176" s="6" t="e">
        <f t="shared" si="5"/>
        <v>#DIV/0!</v>
      </c>
      <c r="N176" s="6">
        <f t="shared" si="6"/>
        <v>0</v>
      </c>
      <c r="O176" s="6">
        <f t="shared" si="7"/>
        <v>0</v>
      </c>
      <c r="P176" s="6">
        <f t="shared" si="8"/>
        <v>0</v>
      </c>
      <c r="Q176" s="6">
        <f t="shared" si="9"/>
        <v>0</v>
      </c>
      <c r="R176" s="6" t="e">
        <f t="shared" si="41"/>
        <v>#DIV/0!</v>
      </c>
      <c r="S176" s="6" t="e">
        <f t="shared" si="10"/>
        <v>#DIV/0!</v>
      </c>
      <c r="T176" s="11" t="e">
        <f>SUM($R$126:R176)/($E$87)</f>
        <v>#DIV/0!</v>
      </c>
      <c r="U176" s="89" t="e">
        <f t="shared" si="11"/>
        <v>#DIV/0!</v>
      </c>
      <c r="V176" s="6" t="e">
        <f t="shared" si="12"/>
        <v>#DIV/0!</v>
      </c>
      <c r="W176" s="6" t="e">
        <f t="shared" si="42"/>
        <v>#DIV/0!</v>
      </c>
      <c r="X176" s="6" t="e">
        <f t="shared" si="13"/>
        <v>#DIV/0!</v>
      </c>
      <c r="Y176" s="6" t="e">
        <f t="shared" si="14"/>
        <v>#DIV/0!</v>
      </c>
      <c r="Z176" s="90" t="e">
        <f t="shared" si="15"/>
        <v>#DIV/0!</v>
      </c>
      <c r="AA176" s="89" t="e">
        <f t="shared" si="16"/>
        <v>#DIV/0!</v>
      </c>
      <c r="AB176" s="6" t="e">
        <f t="shared" si="17"/>
        <v>#DIV/0!</v>
      </c>
      <c r="AC176" s="6" t="e">
        <f t="shared" si="52"/>
        <v>#NUM!</v>
      </c>
      <c r="AD176" s="90" t="e">
        <f t="shared" si="19"/>
        <v>#NUM!</v>
      </c>
      <c r="AE176" s="6" t="e">
        <f t="shared" si="20"/>
        <v>#DIV/0!</v>
      </c>
      <c r="AF176" s="6" t="e">
        <f>IF(SUM(AE177:$AE$245)-SUM(AJ177:$AK$245,AN177:$AN$245)&gt;$E$42,0,IF(SUM($AF$125:AF175)=0,$E$42-(SUM(AE177:$AE$245)-SUM(AJ177:$AK$245,AN177:$AN$245)),AE176-SUM(AJ176:AK176,AN176)))</f>
        <v>#DIV/0!</v>
      </c>
      <c r="AG176" s="89" t="e">
        <f t="shared" si="21"/>
        <v>#DIV/0!</v>
      </c>
      <c r="AH176" s="6" t="e">
        <f t="shared" si="43"/>
        <v>#DIV/0!</v>
      </c>
      <c r="AI176" s="6" t="e">
        <f t="shared" si="22"/>
        <v>#DIV/0!</v>
      </c>
      <c r="AJ176" s="6">
        <f t="shared" si="23"/>
        <v>0</v>
      </c>
      <c r="AK176" s="90">
        <f t="shared" si="24"/>
        <v>0</v>
      </c>
      <c r="AL176" s="6" t="e">
        <f t="shared" si="25"/>
        <v>#DIV/0!</v>
      </c>
      <c r="AM176" s="6" t="e">
        <f t="shared" si="44"/>
        <v>#NUM!</v>
      </c>
      <c r="AN176" s="6">
        <f t="shared" si="26"/>
        <v>0</v>
      </c>
      <c r="AO176" s="6" t="e">
        <f t="shared" si="27"/>
        <v>#DIV/0!</v>
      </c>
      <c r="AP176" s="15">
        <f>IFERROR(XIRR($AO$125:AO176,$D$125:D176),-100%)</f>
        <v>-1</v>
      </c>
      <c r="AQ176" s="129" t="e">
        <f t="shared" si="28"/>
        <v>#NUM!</v>
      </c>
      <c r="AR176" s="300">
        <v>0</v>
      </c>
      <c r="AS176" s="130" t="e">
        <f t="shared" si="53"/>
        <v>#DIV/0!</v>
      </c>
      <c r="AT176" s="10">
        <f>IFERROR(XIRR($AS$125:$AS176,$D$125:$D176),-100%)</f>
        <v>-1</v>
      </c>
      <c r="AU176" s="300">
        <v>0</v>
      </c>
      <c r="AV176" s="130" t="e">
        <f t="shared" si="54"/>
        <v>#DIV/0!</v>
      </c>
      <c r="AW176" s="131">
        <f>IFERROR(XIRR($AV$125:$AV176,$D$125:$D176),-100%)</f>
        <v>-1</v>
      </c>
      <c r="AX176" s="213">
        <f t="shared" si="45"/>
        <v>0</v>
      </c>
      <c r="AY176" s="200" t="e">
        <f t="shared" si="55"/>
        <v>#DIV/0!</v>
      </c>
      <c r="AZ176" s="159">
        <f t="shared" si="56"/>
        <v>0</v>
      </c>
      <c r="BA176" s="148" t="e">
        <f t="shared" si="46"/>
        <v>#NUM!</v>
      </c>
      <c r="BB176" s="6" t="e">
        <f t="shared" si="57"/>
        <v>#NUM!</v>
      </c>
      <c r="BC176" s="6" t="e">
        <f t="shared" si="58"/>
        <v>#NUM!</v>
      </c>
      <c r="BD176" s="149" t="e">
        <f t="shared" si="35"/>
        <v>#NUM!</v>
      </c>
      <c r="BE176" s="148" t="e">
        <f t="shared" si="47"/>
        <v>#NUM!</v>
      </c>
      <c r="BF176" s="6" t="e">
        <f t="shared" si="59"/>
        <v>#NUM!</v>
      </c>
      <c r="BG176" s="6" t="e">
        <f t="shared" si="60"/>
        <v>#DIV/0!</v>
      </c>
      <c r="BH176" s="6" t="e">
        <f t="shared" si="48"/>
        <v>#NUM!</v>
      </c>
      <c r="BI176" s="138" t="e">
        <f t="shared" si="61"/>
        <v>#DIV/0!</v>
      </c>
    </row>
    <row r="177" spans="1:61" x14ac:dyDescent="0.25">
      <c r="A177"/>
      <c r="B177" s="9">
        <f t="shared" si="50"/>
        <v>5</v>
      </c>
      <c r="C177" s="13">
        <v>52</v>
      </c>
      <c r="D177" s="12">
        <f t="shared" si="39"/>
        <v>1613</v>
      </c>
      <c r="E177" s="6">
        <f>INDEX(GC!$G$25:$G$144,MATCH($D177,GC!$C$25:$C$144,0))</f>
        <v>0</v>
      </c>
      <c r="F177" s="6">
        <f>INDEX(GC!$I$25:$I$144,MATCH($D177,GC!$C$25:$C$144,0))</f>
        <v>0</v>
      </c>
      <c r="G177" s="6">
        <f t="shared" si="40"/>
        <v>0</v>
      </c>
      <c r="H177" s="6">
        <f t="shared" si="2"/>
        <v>0</v>
      </c>
      <c r="I177" s="6">
        <f t="shared" si="51"/>
        <v>0</v>
      </c>
      <c r="J177" s="6">
        <f>IF(SUM($I$126:I177)&gt;$E$61, SUM($I$126:I177)-SUM($J$125:J176)-$E$61,0)</f>
        <v>0</v>
      </c>
      <c r="K177" s="6" t="e">
        <f t="shared" si="3"/>
        <v>#DIV/0!</v>
      </c>
      <c r="L177" s="6" t="e">
        <f t="shared" si="4"/>
        <v>#DIV/0!</v>
      </c>
      <c r="M177" s="6" t="e">
        <f t="shared" si="5"/>
        <v>#DIV/0!</v>
      </c>
      <c r="N177" s="6">
        <f t="shared" si="6"/>
        <v>0</v>
      </c>
      <c r="O177" s="6">
        <f t="shared" si="7"/>
        <v>0</v>
      </c>
      <c r="P177" s="6">
        <f t="shared" si="8"/>
        <v>0</v>
      </c>
      <c r="Q177" s="6">
        <f t="shared" si="9"/>
        <v>0</v>
      </c>
      <c r="R177" s="6" t="e">
        <f t="shared" si="41"/>
        <v>#DIV/0!</v>
      </c>
      <c r="S177" s="6" t="e">
        <f t="shared" si="10"/>
        <v>#DIV/0!</v>
      </c>
      <c r="T177" s="11" t="e">
        <f>SUM($R$126:R177)/($E$87)</f>
        <v>#DIV/0!</v>
      </c>
      <c r="U177" s="89" t="e">
        <f t="shared" si="11"/>
        <v>#DIV/0!</v>
      </c>
      <c r="V177" s="6" t="e">
        <f t="shared" si="12"/>
        <v>#DIV/0!</v>
      </c>
      <c r="W177" s="6" t="e">
        <f t="shared" si="42"/>
        <v>#DIV/0!</v>
      </c>
      <c r="X177" s="6" t="e">
        <f t="shared" si="13"/>
        <v>#DIV/0!</v>
      </c>
      <c r="Y177" s="6" t="e">
        <f t="shared" si="14"/>
        <v>#DIV/0!</v>
      </c>
      <c r="Z177" s="90" t="e">
        <f t="shared" si="15"/>
        <v>#DIV/0!</v>
      </c>
      <c r="AA177" s="89" t="e">
        <f t="shared" si="16"/>
        <v>#DIV/0!</v>
      </c>
      <c r="AB177" s="6" t="e">
        <f t="shared" si="17"/>
        <v>#DIV/0!</v>
      </c>
      <c r="AC177" s="6" t="e">
        <f t="shared" si="52"/>
        <v>#NUM!</v>
      </c>
      <c r="AD177" s="90" t="e">
        <f t="shared" si="19"/>
        <v>#NUM!</v>
      </c>
      <c r="AE177" s="6" t="e">
        <f t="shared" si="20"/>
        <v>#DIV/0!</v>
      </c>
      <c r="AF177" s="6" t="e">
        <f>IF(SUM(AE178:$AE$245)-SUM(AJ178:$AK$245,AN178:$AN$245)&gt;$E$42,0,IF(SUM($AF$125:AF176)=0,$E$42-(SUM(AE178:$AE$245)-SUM(AJ178:$AK$245,AN178:$AN$245)),AE177-SUM(AJ177:AK177,AN177)))</f>
        <v>#DIV/0!</v>
      </c>
      <c r="AG177" s="89" t="e">
        <f t="shared" si="21"/>
        <v>#DIV/0!</v>
      </c>
      <c r="AH177" s="6" t="e">
        <f t="shared" si="43"/>
        <v>#DIV/0!</v>
      </c>
      <c r="AI177" s="6" t="e">
        <f t="shared" si="22"/>
        <v>#DIV/0!</v>
      </c>
      <c r="AJ177" s="6">
        <f t="shared" si="23"/>
        <v>0</v>
      </c>
      <c r="AK177" s="90">
        <f t="shared" si="24"/>
        <v>0</v>
      </c>
      <c r="AL177" s="6" t="e">
        <f t="shared" si="25"/>
        <v>#DIV/0!</v>
      </c>
      <c r="AM177" s="6" t="e">
        <f t="shared" si="44"/>
        <v>#NUM!</v>
      </c>
      <c r="AN177" s="6">
        <f t="shared" si="26"/>
        <v>0</v>
      </c>
      <c r="AO177" s="6" t="e">
        <f t="shared" si="27"/>
        <v>#DIV/0!</v>
      </c>
      <c r="AP177" s="15">
        <f>IFERROR(XIRR($AO$125:AO177,$D$125:D177),-100%)</f>
        <v>-1</v>
      </c>
      <c r="AQ177" s="129" t="e">
        <f t="shared" si="28"/>
        <v>#NUM!</v>
      </c>
      <c r="AR177" s="300">
        <v>0</v>
      </c>
      <c r="AS177" s="130" t="e">
        <f t="shared" si="53"/>
        <v>#DIV/0!</v>
      </c>
      <c r="AT177" s="10">
        <f>IFERROR(XIRR($AS$125:$AS177,$D$125:$D177),-100%)</f>
        <v>-1</v>
      </c>
      <c r="AU177" s="300">
        <v>0</v>
      </c>
      <c r="AV177" s="130" t="e">
        <f t="shared" si="54"/>
        <v>#DIV/0!</v>
      </c>
      <c r="AW177" s="131">
        <f>IFERROR(XIRR($AV$125:$AV177,$D$125:$D177),-100%)</f>
        <v>-1</v>
      </c>
      <c r="AX177" s="213">
        <f t="shared" si="45"/>
        <v>0</v>
      </c>
      <c r="AY177" s="200" t="e">
        <f t="shared" si="55"/>
        <v>#DIV/0!</v>
      </c>
      <c r="AZ177" s="159">
        <f t="shared" si="56"/>
        <v>0</v>
      </c>
      <c r="BA177" s="148" t="e">
        <f t="shared" si="46"/>
        <v>#NUM!</v>
      </c>
      <c r="BB177" s="6" t="e">
        <f t="shared" si="57"/>
        <v>#NUM!</v>
      </c>
      <c r="BC177" s="6" t="e">
        <f t="shared" si="58"/>
        <v>#NUM!</v>
      </c>
      <c r="BD177" s="149" t="e">
        <f t="shared" si="35"/>
        <v>#NUM!</v>
      </c>
      <c r="BE177" s="148" t="e">
        <f t="shared" si="47"/>
        <v>#NUM!</v>
      </c>
      <c r="BF177" s="6" t="e">
        <f t="shared" si="59"/>
        <v>#NUM!</v>
      </c>
      <c r="BG177" s="6" t="e">
        <f t="shared" si="60"/>
        <v>#DIV/0!</v>
      </c>
      <c r="BH177" s="6" t="e">
        <f t="shared" si="48"/>
        <v>#NUM!</v>
      </c>
      <c r="BI177" s="138" t="e">
        <f t="shared" si="61"/>
        <v>#DIV/0!</v>
      </c>
    </row>
    <row r="178" spans="1:61" x14ac:dyDescent="0.25">
      <c r="A178"/>
      <c r="B178" s="9">
        <f t="shared" si="50"/>
        <v>5</v>
      </c>
      <c r="C178" s="13">
        <v>53</v>
      </c>
      <c r="D178" s="12">
        <f t="shared" si="39"/>
        <v>1643</v>
      </c>
      <c r="E178" s="6">
        <f>INDEX(GC!$G$25:$G$144,MATCH($D178,GC!$C$25:$C$144,0))</f>
        <v>0</v>
      </c>
      <c r="F178" s="6">
        <f>INDEX(GC!$I$25:$I$144,MATCH($D178,GC!$C$25:$C$144,0))</f>
        <v>0</v>
      </c>
      <c r="G178" s="6">
        <f t="shared" si="40"/>
        <v>0</v>
      </c>
      <c r="H178" s="6">
        <f t="shared" si="2"/>
        <v>0</v>
      </c>
      <c r="I178" s="6">
        <f t="shared" si="51"/>
        <v>0</v>
      </c>
      <c r="J178" s="6">
        <f>IF(SUM($I$126:I178)&gt;$E$61, SUM($I$126:I178)-SUM($J$125:J177)-$E$61,0)</f>
        <v>0</v>
      </c>
      <c r="K178" s="6" t="e">
        <f t="shared" si="3"/>
        <v>#DIV/0!</v>
      </c>
      <c r="L178" s="6" t="e">
        <f t="shared" si="4"/>
        <v>#DIV/0!</v>
      </c>
      <c r="M178" s="6" t="e">
        <f t="shared" si="5"/>
        <v>#DIV/0!</v>
      </c>
      <c r="N178" s="6">
        <f t="shared" si="6"/>
        <v>0</v>
      </c>
      <c r="O178" s="6">
        <f t="shared" si="7"/>
        <v>0</v>
      </c>
      <c r="P178" s="6">
        <f t="shared" si="8"/>
        <v>0</v>
      </c>
      <c r="Q178" s="6">
        <f t="shared" si="9"/>
        <v>0</v>
      </c>
      <c r="R178" s="6" t="e">
        <f t="shared" si="41"/>
        <v>#DIV/0!</v>
      </c>
      <c r="S178" s="6" t="e">
        <f t="shared" si="10"/>
        <v>#DIV/0!</v>
      </c>
      <c r="T178" s="11" t="e">
        <f>SUM($R$126:R178)/($E$87)</f>
        <v>#DIV/0!</v>
      </c>
      <c r="U178" s="89" t="e">
        <f t="shared" si="11"/>
        <v>#DIV/0!</v>
      </c>
      <c r="V178" s="6" t="e">
        <f t="shared" si="12"/>
        <v>#DIV/0!</v>
      </c>
      <c r="W178" s="6" t="e">
        <f t="shared" si="42"/>
        <v>#DIV/0!</v>
      </c>
      <c r="X178" s="6" t="e">
        <f t="shared" si="13"/>
        <v>#DIV/0!</v>
      </c>
      <c r="Y178" s="6" t="e">
        <f t="shared" si="14"/>
        <v>#DIV/0!</v>
      </c>
      <c r="Z178" s="90" t="e">
        <f t="shared" si="15"/>
        <v>#DIV/0!</v>
      </c>
      <c r="AA178" s="89" t="e">
        <f t="shared" si="16"/>
        <v>#DIV/0!</v>
      </c>
      <c r="AB178" s="6" t="e">
        <f t="shared" si="17"/>
        <v>#DIV/0!</v>
      </c>
      <c r="AC178" s="6" t="e">
        <f t="shared" si="52"/>
        <v>#NUM!</v>
      </c>
      <c r="AD178" s="90" t="e">
        <f t="shared" si="19"/>
        <v>#NUM!</v>
      </c>
      <c r="AE178" s="6" t="e">
        <f t="shared" si="20"/>
        <v>#DIV/0!</v>
      </c>
      <c r="AF178" s="6" t="e">
        <f>IF(SUM(AE179:$AE$245)-SUM(AJ179:$AK$245,AN179:$AN$245)&gt;$E$42,0,IF(SUM($AF$125:AF177)=0,$E$42-(SUM(AE179:$AE$245)-SUM(AJ179:$AK$245,AN179:$AN$245)),AE178-SUM(AJ178:AK178,AN178)))</f>
        <v>#DIV/0!</v>
      </c>
      <c r="AG178" s="89" t="e">
        <f t="shared" si="21"/>
        <v>#DIV/0!</v>
      </c>
      <c r="AH178" s="6" t="e">
        <f t="shared" si="43"/>
        <v>#DIV/0!</v>
      </c>
      <c r="AI178" s="6" t="e">
        <f t="shared" si="22"/>
        <v>#DIV/0!</v>
      </c>
      <c r="AJ178" s="6">
        <f t="shared" si="23"/>
        <v>0</v>
      </c>
      <c r="AK178" s="90">
        <f t="shared" si="24"/>
        <v>0</v>
      </c>
      <c r="AL178" s="6" t="e">
        <f t="shared" si="25"/>
        <v>#DIV/0!</v>
      </c>
      <c r="AM178" s="6" t="e">
        <f t="shared" si="44"/>
        <v>#NUM!</v>
      </c>
      <c r="AN178" s="6">
        <f t="shared" si="26"/>
        <v>0</v>
      </c>
      <c r="AO178" s="6" t="e">
        <f t="shared" si="27"/>
        <v>#DIV/0!</v>
      </c>
      <c r="AP178" s="15">
        <f>IFERROR(XIRR($AO$125:AO178,$D$125:D178),-100%)</f>
        <v>-1</v>
      </c>
      <c r="AQ178" s="129" t="e">
        <f t="shared" si="28"/>
        <v>#NUM!</v>
      </c>
      <c r="AR178" s="300">
        <v>0</v>
      </c>
      <c r="AS178" s="130" t="e">
        <f t="shared" si="53"/>
        <v>#DIV/0!</v>
      </c>
      <c r="AT178" s="10">
        <f>IFERROR(XIRR($AS$125:$AS178,$D$125:$D178),-100%)</f>
        <v>-1</v>
      </c>
      <c r="AU178" s="300">
        <v>0</v>
      </c>
      <c r="AV178" s="130" t="e">
        <f t="shared" si="54"/>
        <v>#DIV/0!</v>
      </c>
      <c r="AW178" s="131">
        <f>IFERROR(XIRR($AV$125:$AV178,$D$125:$D178),-100%)</f>
        <v>-1</v>
      </c>
      <c r="AX178" s="213">
        <f t="shared" si="45"/>
        <v>0</v>
      </c>
      <c r="AY178" s="200" t="e">
        <f t="shared" si="55"/>
        <v>#DIV/0!</v>
      </c>
      <c r="AZ178" s="159">
        <f t="shared" si="56"/>
        <v>0</v>
      </c>
      <c r="BA178" s="148" t="e">
        <f t="shared" si="46"/>
        <v>#NUM!</v>
      </c>
      <c r="BB178" s="6" t="e">
        <f t="shared" si="57"/>
        <v>#NUM!</v>
      </c>
      <c r="BC178" s="6" t="e">
        <f t="shared" si="58"/>
        <v>#NUM!</v>
      </c>
      <c r="BD178" s="149" t="e">
        <f t="shared" si="35"/>
        <v>#NUM!</v>
      </c>
      <c r="BE178" s="148" t="e">
        <f t="shared" si="47"/>
        <v>#NUM!</v>
      </c>
      <c r="BF178" s="6" t="e">
        <f t="shared" si="59"/>
        <v>#NUM!</v>
      </c>
      <c r="BG178" s="6" t="e">
        <f t="shared" si="60"/>
        <v>#DIV/0!</v>
      </c>
      <c r="BH178" s="6" t="e">
        <f t="shared" si="48"/>
        <v>#NUM!</v>
      </c>
      <c r="BI178" s="138" t="e">
        <f t="shared" si="61"/>
        <v>#DIV/0!</v>
      </c>
    </row>
    <row r="179" spans="1:61" x14ac:dyDescent="0.25">
      <c r="A179"/>
      <c r="B179" s="9">
        <f t="shared" si="50"/>
        <v>5</v>
      </c>
      <c r="C179" s="13">
        <v>54</v>
      </c>
      <c r="D179" s="12">
        <f t="shared" si="39"/>
        <v>1674</v>
      </c>
      <c r="E179" s="6">
        <f>INDEX(GC!$G$25:$G$144,MATCH($D179,GC!$C$25:$C$144,0))</f>
        <v>0</v>
      </c>
      <c r="F179" s="6">
        <f>INDEX(GC!$I$25:$I$144,MATCH($D179,GC!$C$25:$C$144,0))</f>
        <v>0</v>
      </c>
      <c r="G179" s="6">
        <f t="shared" si="40"/>
        <v>0</v>
      </c>
      <c r="H179" s="6">
        <f t="shared" si="2"/>
        <v>0</v>
      </c>
      <c r="I179" s="6">
        <f t="shared" si="51"/>
        <v>0</v>
      </c>
      <c r="J179" s="6">
        <f>IF(SUM($I$126:I179)&gt;$E$61, SUM($I$126:I179)-SUM($J$125:J178)-$E$61,0)</f>
        <v>0</v>
      </c>
      <c r="K179" s="6" t="e">
        <f t="shared" si="3"/>
        <v>#DIV/0!</v>
      </c>
      <c r="L179" s="6" t="e">
        <f t="shared" si="4"/>
        <v>#DIV/0!</v>
      </c>
      <c r="M179" s="6" t="e">
        <f t="shared" si="5"/>
        <v>#DIV/0!</v>
      </c>
      <c r="N179" s="6">
        <f t="shared" si="6"/>
        <v>0</v>
      </c>
      <c r="O179" s="6">
        <f t="shared" si="7"/>
        <v>0</v>
      </c>
      <c r="P179" s="6">
        <f t="shared" si="8"/>
        <v>0</v>
      </c>
      <c r="Q179" s="6">
        <f t="shared" si="9"/>
        <v>0</v>
      </c>
      <c r="R179" s="6" t="e">
        <f t="shared" si="41"/>
        <v>#DIV/0!</v>
      </c>
      <c r="S179" s="6" t="e">
        <f t="shared" si="10"/>
        <v>#DIV/0!</v>
      </c>
      <c r="T179" s="11" t="e">
        <f>SUM($R$126:R179)/($E$87)</f>
        <v>#DIV/0!</v>
      </c>
      <c r="U179" s="89" t="e">
        <f t="shared" si="11"/>
        <v>#DIV/0!</v>
      </c>
      <c r="V179" s="6" t="e">
        <f t="shared" si="12"/>
        <v>#DIV/0!</v>
      </c>
      <c r="W179" s="6" t="e">
        <f t="shared" si="42"/>
        <v>#DIV/0!</v>
      </c>
      <c r="X179" s="6" t="e">
        <f t="shared" si="13"/>
        <v>#DIV/0!</v>
      </c>
      <c r="Y179" s="6" t="e">
        <f t="shared" si="14"/>
        <v>#DIV/0!</v>
      </c>
      <c r="Z179" s="90" t="e">
        <f t="shared" si="15"/>
        <v>#DIV/0!</v>
      </c>
      <c r="AA179" s="89" t="e">
        <f t="shared" si="16"/>
        <v>#DIV/0!</v>
      </c>
      <c r="AB179" s="6" t="e">
        <f t="shared" si="17"/>
        <v>#DIV/0!</v>
      </c>
      <c r="AC179" s="6" t="e">
        <f t="shared" si="52"/>
        <v>#NUM!</v>
      </c>
      <c r="AD179" s="90" t="e">
        <f t="shared" si="19"/>
        <v>#NUM!</v>
      </c>
      <c r="AE179" s="6" t="e">
        <f t="shared" si="20"/>
        <v>#DIV/0!</v>
      </c>
      <c r="AF179" s="6" t="e">
        <f>IF(SUM(AE180:$AE$245)-SUM(AJ180:$AK$245,AN180:$AN$245)&gt;$E$42,0,IF(SUM($AF$125:AF178)=0,$E$42-(SUM(AE180:$AE$245)-SUM(AJ180:$AK$245,AN180:$AN$245)),AE179-SUM(AJ179:AK179,AN179)))</f>
        <v>#DIV/0!</v>
      </c>
      <c r="AG179" s="89" t="e">
        <f t="shared" si="21"/>
        <v>#DIV/0!</v>
      </c>
      <c r="AH179" s="6" t="e">
        <f t="shared" si="43"/>
        <v>#DIV/0!</v>
      </c>
      <c r="AI179" s="6" t="e">
        <f t="shared" si="22"/>
        <v>#DIV/0!</v>
      </c>
      <c r="AJ179" s="6">
        <f t="shared" si="23"/>
        <v>0</v>
      </c>
      <c r="AK179" s="90">
        <f t="shared" si="24"/>
        <v>0</v>
      </c>
      <c r="AL179" s="6" t="e">
        <f t="shared" si="25"/>
        <v>#DIV/0!</v>
      </c>
      <c r="AM179" s="6" t="e">
        <f t="shared" si="44"/>
        <v>#NUM!</v>
      </c>
      <c r="AN179" s="6">
        <f t="shared" si="26"/>
        <v>0</v>
      </c>
      <c r="AO179" s="6" t="e">
        <f t="shared" si="27"/>
        <v>#DIV/0!</v>
      </c>
      <c r="AP179" s="15">
        <f>IFERROR(XIRR($AO$125:AO179,$D$125:D179),-100%)</f>
        <v>-1</v>
      </c>
      <c r="AQ179" s="129" t="e">
        <f t="shared" si="28"/>
        <v>#NUM!</v>
      </c>
      <c r="AR179" s="300">
        <v>0</v>
      </c>
      <c r="AS179" s="130" t="e">
        <f t="shared" si="53"/>
        <v>#DIV/0!</v>
      </c>
      <c r="AT179" s="10">
        <f>IFERROR(XIRR($AS$125:$AS179,$D$125:$D179),-100%)</f>
        <v>-1</v>
      </c>
      <c r="AU179" s="300">
        <v>0</v>
      </c>
      <c r="AV179" s="130" t="e">
        <f t="shared" si="54"/>
        <v>#DIV/0!</v>
      </c>
      <c r="AW179" s="131">
        <f>IFERROR(XIRR($AV$125:$AV179,$D$125:$D179),-100%)</f>
        <v>-1</v>
      </c>
      <c r="AX179" s="213">
        <f t="shared" si="45"/>
        <v>0</v>
      </c>
      <c r="AY179" s="200" t="e">
        <f t="shared" si="55"/>
        <v>#DIV/0!</v>
      </c>
      <c r="AZ179" s="159">
        <f t="shared" si="56"/>
        <v>0</v>
      </c>
      <c r="BA179" s="148" t="e">
        <f t="shared" si="46"/>
        <v>#NUM!</v>
      </c>
      <c r="BB179" s="6" t="e">
        <f t="shared" si="57"/>
        <v>#NUM!</v>
      </c>
      <c r="BC179" s="6" t="e">
        <f t="shared" si="58"/>
        <v>#NUM!</v>
      </c>
      <c r="BD179" s="149" t="e">
        <f t="shared" si="35"/>
        <v>#NUM!</v>
      </c>
      <c r="BE179" s="148" t="e">
        <f t="shared" si="47"/>
        <v>#NUM!</v>
      </c>
      <c r="BF179" s="6" t="e">
        <f t="shared" si="59"/>
        <v>#NUM!</v>
      </c>
      <c r="BG179" s="6" t="e">
        <f t="shared" si="60"/>
        <v>#DIV/0!</v>
      </c>
      <c r="BH179" s="6" t="e">
        <f t="shared" si="48"/>
        <v>#NUM!</v>
      </c>
      <c r="BI179" s="138" t="e">
        <f t="shared" si="61"/>
        <v>#DIV/0!</v>
      </c>
    </row>
    <row r="180" spans="1:61" x14ac:dyDescent="0.25">
      <c r="A180"/>
      <c r="B180" s="9">
        <f t="shared" si="50"/>
        <v>5</v>
      </c>
      <c r="C180" s="13">
        <v>55</v>
      </c>
      <c r="D180" s="12">
        <f t="shared" si="39"/>
        <v>1705</v>
      </c>
      <c r="E180" s="6">
        <f>INDEX(GC!$G$25:$G$144,MATCH($D180,GC!$C$25:$C$144,0))</f>
        <v>0</v>
      </c>
      <c r="F180" s="6">
        <f>INDEX(GC!$I$25:$I$144,MATCH($D180,GC!$C$25:$C$144,0))</f>
        <v>0</v>
      </c>
      <c r="G180" s="6">
        <f t="shared" si="40"/>
        <v>0</v>
      </c>
      <c r="H180" s="6">
        <f t="shared" si="2"/>
        <v>0</v>
      </c>
      <c r="I180" s="6">
        <f t="shared" si="51"/>
        <v>0</v>
      </c>
      <c r="J180" s="6">
        <f>IF(SUM($I$126:I180)&gt;$E$61, SUM($I$126:I180)-SUM($J$125:J179)-$E$61,0)</f>
        <v>0</v>
      </c>
      <c r="K180" s="6" t="e">
        <f t="shared" si="3"/>
        <v>#DIV/0!</v>
      </c>
      <c r="L180" s="6" t="e">
        <f t="shared" si="4"/>
        <v>#DIV/0!</v>
      </c>
      <c r="M180" s="6" t="e">
        <f t="shared" si="5"/>
        <v>#DIV/0!</v>
      </c>
      <c r="N180" s="6">
        <f t="shared" si="6"/>
        <v>0</v>
      </c>
      <c r="O180" s="6">
        <f t="shared" si="7"/>
        <v>0</v>
      </c>
      <c r="P180" s="6">
        <f t="shared" si="8"/>
        <v>0</v>
      </c>
      <c r="Q180" s="6">
        <f t="shared" si="9"/>
        <v>0</v>
      </c>
      <c r="R180" s="6" t="e">
        <f t="shared" si="41"/>
        <v>#DIV/0!</v>
      </c>
      <c r="S180" s="6" t="e">
        <f t="shared" si="10"/>
        <v>#DIV/0!</v>
      </c>
      <c r="T180" s="11" t="e">
        <f>SUM($R$126:R180)/($E$87)</f>
        <v>#DIV/0!</v>
      </c>
      <c r="U180" s="89" t="e">
        <f t="shared" si="11"/>
        <v>#DIV/0!</v>
      </c>
      <c r="V180" s="6" t="e">
        <f t="shared" si="12"/>
        <v>#DIV/0!</v>
      </c>
      <c r="W180" s="6" t="e">
        <f t="shared" si="42"/>
        <v>#DIV/0!</v>
      </c>
      <c r="X180" s="6" t="e">
        <f t="shared" si="13"/>
        <v>#DIV/0!</v>
      </c>
      <c r="Y180" s="6" t="e">
        <f t="shared" si="14"/>
        <v>#DIV/0!</v>
      </c>
      <c r="Z180" s="90" t="e">
        <f t="shared" si="15"/>
        <v>#DIV/0!</v>
      </c>
      <c r="AA180" s="89" t="e">
        <f t="shared" si="16"/>
        <v>#DIV/0!</v>
      </c>
      <c r="AB180" s="6" t="e">
        <f t="shared" si="17"/>
        <v>#DIV/0!</v>
      </c>
      <c r="AC180" s="6" t="e">
        <f t="shared" si="52"/>
        <v>#NUM!</v>
      </c>
      <c r="AD180" s="90" t="e">
        <f t="shared" si="19"/>
        <v>#NUM!</v>
      </c>
      <c r="AE180" s="6" t="e">
        <f t="shared" si="20"/>
        <v>#DIV/0!</v>
      </c>
      <c r="AF180" s="6" t="e">
        <f>IF(SUM(AE181:$AE$245)-SUM(AJ181:$AK$245,AN181:$AN$245)&gt;$E$42,0,IF(SUM($AF$125:AF179)=0,$E$42-(SUM(AE181:$AE$245)-SUM(AJ181:$AK$245,AN181:$AN$245)),AE180-SUM(AJ180:AK180,AN180)))</f>
        <v>#DIV/0!</v>
      </c>
      <c r="AG180" s="89" t="e">
        <f t="shared" si="21"/>
        <v>#DIV/0!</v>
      </c>
      <c r="AH180" s="6" t="e">
        <f t="shared" si="43"/>
        <v>#DIV/0!</v>
      </c>
      <c r="AI180" s="6" t="e">
        <f t="shared" si="22"/>
        <v>#DIV/0!</v>
      </c>
      <c r="AJ180" s="6">
        <f t="shared" si="23"/>
        <v>0</v>
      </c>
      <c r="AK180" s="90">
        <f t="shared" si="24"/>
        <v>0</v>
      </c>
      <c r="AL180" s="6" t="e">
        <f t="shared" si="25"/>
        <v>#DIV/0!</v>
      </c>
      <c r="AM180" s="6" t="e">
        <f t="shared" si="44"/>
        <v>#NUM!</v>
      </c>
      <c r="AN180" s="6">
        <f t="shared" si="26"/>
        <v>0</v>
      </c>
      <c r="AO180" s="6" t="e">
        <f t="shared" si="27"/>
        <v>#DIV/0!</v>
      </c>
      <c r="AP180" s="15">
        <f>IFERROR(XIRR($AO$125:AO180,$D$125:D180),-100%)</f>
        <v>-1</v>
      </c>
      <c r="AQ180" s="129" t="e">
        <f t="shared" si="28"/>
        <v>#NUM!</v>
      </c>
      <c r="AR180" s="300">
        <v>0</v>
      </c>
      <c r="AS180" s="130" t="e">
        <f t="shared" si="53"/>
        <v>#DIV/0!</v>
      </c>
      <c r="AT180" s="10">
        <f>IFERROR(XIRR($AS$125:$AS180,$D$125:$D180),-100%)</f>
        <v>-1</v>
      </c>
      <c r="AU180" s="300">
        <v>0</v>
      </c>
      <c r="AV180" s="130" t="e">
        <f t="shared" si="54"/>
        <v>#DIV/0!</v>
      </c>
      <c r="AW180" s="131">
        <f>IFERROR(XIRR($AV$125:$AV180,$D$125:$D180),-100%)</f>
        <v>-1</v>
      </c>
      <c r="AX180" s="213">
        <f t="shared" si="45"/>
        <v>0</v>
      </c>
      <c r="AY180" s="200" t="e">
        <f t="shared" si="55"/>
        <v>#DIV/0!</v>
      </c>
      <c r="AZ180" s="159">
        <f t="shared" si="56"/>
        <v>0</v>
      </c>
      <c r="BA180" s="148" t="e">
        <f t="shared" si="46"/>
        <v>#NUM!</v>
      </c>
      <c r="BB180" s="6" t="e">
        <f t="shared" si="57"/>
        <v>#NUM!</v>
      </c>
      <c r="BC180" s="6" t="e">
        <f t="shared" si="58"/>
        <v>#NUM!</v>
      </c>
      <c r="BD180" s="149" t="e">
        <f t="shared" si="35"/>
        <v>#NUM!</v>
      </c>
      <c r="BE180" s="148" t="e">
        <f t="shared" si="47"/>
        <v>#NUM!</v>
      </c>
      <c r="BF180" s="6" t="e">
        <f t="shared" si="59"/>
        <v>#NUM!</v>
      </c>
      <c r="BG180" s="6" t="e">
        <f t="shared" si="60"/>
        <v>#DIV/0!</v>
      </c>
      <c r="BH180" s="6" t="e">
        <f t="shared" si="48"/>
        <v>#NUM!</v>
      </c>
      <c r="BI180" s="138" t="e">
        <f t="shared" si="61"/>
        <v>#DIV/0!</v>
      </c>
    </row>
    <row r="181" spans="1:61" x14ac:dyDescent="0.25">
      <c r="A181"/>
      <c r="B181" s="9">
        <f t="shared" si="50"/>
        <v>5</v>
      </c>
      <c r="C181" s="13">
        <v>56</v>
      </c>
      <c r="D181" s="12">
        <f t="shared" si="39"/>
        <v>1735</v>
      </c>
      <c r="E181" s="6">
        <f>INDEX(GC!$G$25:$G$144,MATCH($D181,GC!$C$25:$C$144,0))</f>
        <v>0</v>
      </c>
      <c r="F181" s="6">
        <f>INDEX(GC!$I$25:$I$144,MATCH($D181,GC!$C$25:$C$144,0))</f>
        <v>0</v>
      </c>
      <c r="G181" s="6">
        <f t="shared" si="40"/>
        <v>0</v>
      </c>
      <c r="H181" s="6">
        <f t="shared" si="2"/>
        <v>0</v>
      </c>
      <c r="I181" s="6">
        <f t="shared" si="51"/>
        <v>0</v>
      </c>
      <c r="J181" s="6">
        <f>IF(SUM($I$126:I181)&gt;$E$61, SUM($I$126:I181)-SUM($J$125:J180)-$E$61,0)</f>
        <v>0</v>
      </c>
      <c r="K181" s="6" t="e">
        <f t="shared" si="3"/>
        <v>#DIV/0!</v>
      </c>
      <c r="L181" s="6" t="e">
        <f t="shared" si="4"/>
        <v>#DIV/0!</v>
      </c>
      <c r="M181" s="6" t="e">
        <f t="shared" si="5"/>
        <v>#DIV/0!</v>
      </c>
      <c r="N181" s="6">
        <f t="shared" si="6"/>
        <v>0</v>
      </c>
      <c r="O181" s="6">
        <f t="shared" si="7"/>
        <v>0</v>
      </c>
      <c r="P181" s="6">
        <f t="shared" si="8"/>
        <v>0</v>
      </c>
      <c r="Q181" s="6">
        <f t="shared" si="9"/>
        <v>0</v>
      </c>
      <c r="R181" s="6" t="e">
        <f t="shared" si="41"/>
        <v>#DIV/0!</v>
      </c>
      <c r="S181" s="6" t="e">
        <f t="shared" si="10"/>
        <v>#DIV/0!</v>
      </c>
      <c r="T181" s="11" t="e">
        <f>SUM($R$126:R181)/($E$87)</f>
        <v>#DIV/0!</v>
      </c>
      <c r="U181" s="89" t="e">
        <f t="shared" si="11"/>
        <v>#DIV/0!</v>
      </c>
      <c r="V181" s="6" t="e">
        <f t="shared" si="12"/>
        <v>#DIV/0!</v>
      </c>
      <c r="W181" s="6" t="e">
        <f t="shared" si="42"/>
        <v>#DIV/0!</v>
      </c>
      <c r="X181" s="6" t="e">
        <f t="shared" si="13"/>
        <v>#DIV/0!</v>
      </c>
      <c r="Y181" s="6" t="e">
        <f t="shared" si="14"/>
        <v>#DIV/0!</v>
      </c>
      <c r="Z181" s="90" t="e">
        <f t="shared" si="15"/>
        <v>#DIV/0!</v>
      </c>
      <c r="AA181" s="89" t="e">
        <f t="shared" si="16"/>
        <v>#DIV/0!</v>
      </c>
      <c r="AB181" s="6" t="e">
        <f t="shared" si="17"/>
        <v>#DIV/0!</v>
      </c>
      <c r="AC181" s="6" t="e">
        <f t="shared" si="52"/>
        <v>#NUM!</v>
      </c>
      <c r="AD181" s="90" t="e">
        <f t="shared" si="19"/>
        <v>#NUM!</v>
      </c>
      <c r="AE181" s="6" t="e">
        <f t="shared" si="20"/>
        <v>#DIV/0!</v>
      </c>
      <c r="AF181" s="6" t="e">
        <f>IF(SUM(AE182:$AE$245)-SUM(AJ182:$AK$245,AN182:$AN$245)&gt;$E$42,0,IF(SUM($AF$125:AF180)=0,$E$42-(SUM(AE182:$AE$245)-SUM(AJ182:$AK$245,AN182:$AN$245)),AE181-SUM(AJ181:AK181,AN181)))</f>
        <v>#DIV/0!</v>
      </c>
      <c r="AG181" s="89" t="e">
        <f t="shared" si="21"/>
        <v>#DIV/0!</v>
      </c>
      <c r="AH181" s="6" t="e">
        <f t="shared" si="43"/>
        <v>#DIV/0!</v>
      </c>
      <c r="AI181" s="6" t="e">
        <f t="shared" si="22"/>
        <v>#DIV/0!</v>
      </c>
      <c r="AJ181" s="6">
        <f t="shared" si="23"/>
        <v>0</v>
      </c>
      <c r="AK181" s="90">
        <f t="shared" si="24"/>
        <v>0</v>
      </c>
      <c r="AL181" s="6" t="e">
        <f t="shared" si="25"/>
        <v>#DIV/0!</v>
      </c>
      <c r="AM181" s="6" t="e">
        <f t="shared" si="44"/>
        <v>#NUM!</v>
      </c>
      <c r="AN181" s="6">
        <f t="shared" si="26"/>
        <v>0</v>
      </c>
      <c r="AO181" s="6" t="e">
        <f t="shared" si="27"/>
        <v>#DIV/0!</v>
      </c>
      <c r="AP181" s="15">
        <f>IFERROR(XIRR($AO$125:AO181,$D$125:D181),-100%)</f>
        <v>-1</v>
      </c>
      <c r="AQ181" s="129" t="e">
        <f t="shared" si="28"/>
        <v>#NUM!</v>
      </c>
      <c r="AR181" s="300">
        <v>0</v>
      </c>
      <c r="AS181" s="130" t="e">
        <f t="shared" si="53"/>
        <v>#DIV/0!</v>
      </c>
      <c r="AT181" s="10">
        <f>IFERROR(XIRR($AS$125:$AS181,$D$125:$D181),-100%)</f>
        <v>-1</v>
      </c>
      <c r="AU181" s="300">
        <v>0</v>
      </c>
      <c r="AV181" s="130" t="e">
        <f t="shared" si="54"/>
        <v>#DIV/0!</v>
      </c>
      <c r="AW181" s="131">
        <f>IFERROR(XIRR($AV$125:$AV181,$D$125:$D181),-100%)</f>
        <v>-1</v>
      </c>
      <c r="AX181" s="213">
        <f t="shared" si="45"/>
        <v>0</v>
      </c>
      <c r="AY181" s="200" t="e">
        <f t="shared" si="55"/>
        <v>#DIV/0!</v>
      </c>
      <c r="AZ181" s="159">
        <f t="shared" si="56"/>
        <v>0</v>
      </c>
      <c r="BA181" s="148" t="e">
        <f t="shared" si="46"/>
        <v>#NUM!</v>
      </c>
      <c r="BB181" s="6" t="e">
        <f t="shared" si="57"/>
        <v>#NUM!</v>
      </c>
      <c r="BC181" s="6" t="e">
        <f t="shared" si="58"/>
        <v>#NUM!</v>
      </c>
      <c r="BD181" s="149" t="e">
        <f t="shared" si="35"/>
        <v>#NUM!</v>
      </c>
      <c r="BE181" s="148" t="e">
        <f t="shared" si="47"/>
        <v>#NUM!</v>
      </c>
      <c r="BF181" s="6" t="e">
        <f t="shared" si="59"/>
        <v>#NUM!</v>
      </c>
      <c r="BG181" s="6" t="e">
        <f t="shared" si="60"/>
        <v>#DIV/0!</v>
      </c>
      <c r="BH181" s="6" t="e">
        <f t="shared" si="48"/>
        <v>#NUM!</v>
      </c>
      <c r="BI181" s="138" t="e">
        <f t="shared" si="61"/>
        <v>#DIV/0!</v>
      </c>
    </row>
    <row r="182" spans="1:61" x14ac:dyDescent="0.25">
      <c r="A182"/>
      <c r="B182" s="9">
        <f t="shared" si="50"/>
        <v>5</v>
      </c>
      <c r="C182" s="13">
        <v>57</v>
      </c>
      <c r="D182" s="12">
        <f t="shared" si="39"/>
        <v>1766</v>
      </c>
      <c r="E182" s="6">
        <f>INDEX(GC!$G$25:$G$144,MATCH($D182,GC!$C$25:$C$144,0))</f>
        <v>0</v>
      </c>
      <c r="F182" s="6">
        <f>INDEX(GC!$I$25:$I$144,MATCH($D182,GC!$C$25:$C$144,0))</f>
        <v>0</v>
      </c>
      <c r="G182" s="6">
        <f t="shared" si="40"/>
        <v>0</v>
      </c>
      <c r="H182" s="6">
        <f t="shared" si="2"/>
        <v>0</v>
      </c>
      <c r="I182" s="6">
        <f t="shared" si="51"/>
        <v>0</v>
      </c>
      <c r="J182" s="6">
        <f>IF(SUM($I$126:I182)&gt;$E$61, SUM($I$126:I182)-SUM($J$125:J181)-$E$61,0)</f>
        <v>0</v>
      </c>
      <c r="K182" s="6" t="e">
        <f t="shared" si="3"/>
        <v>#DIV/0!</v>
      </c>
      <c r="L182" s="6" t="e">
        <f t="shared" si="4"/>
        <v>#DIV/0!</v>
      </c>
      <c r="M182" s="6" t="e">
        <f t="shared" si="5"/>
        <v>#DIV/0!</v>
      </c>
      <c r="N182" s="6">
        <f t="shared" si="6"/>
        <v>0</v>
      </c>
      <c r="O182" s="6">
        <f t="shared" si="7"/>
        <v>0</v>
      </c>
      <c r="P182" s="6">
        <f t="shared" si="8"/>
        <v>0</v>
      </c>
      <c r="Q182" s="6">
        <f t="shared" si="9"/>
        <v>0</v>
      </c>
      <c r="R182" s="6" t="e">
        <f t="shared" si="41"/>
        <v>#DIV/0!</v>
      </c>
      <c r="S182" s="6" t="e">
        <f t="shared" si="10"/>
        <v>#DIV/0!</v>
      </c>
      <c r="T182" s="11" t="e">
        <f>SUM($R$126:R182)/($E$87)</f>
        <v>#DIV/0!</v>
      </c>
      <c r="U182" s="89" t="e">
        <f t="shared" si="11"/>
        <v>#DIV/0!</v>
      </c>
      <c r="V182" s="6" t="e">
        <f t="shared" si="12"/>
        <v>#DIV/0!</v>
      </c>
      <c r="W182" s="6" t="e">
        <f t="shared" si="42"/>
        <v>#DIV/0!</v>
      </c>
      <c r="X182" s="6" t="e">
        <f t="shared" si="13"/>
        <v>#DIV/0!</v>
      </c>
      <c r="Y182" s="6" t="e">
        <f t="shared" si="14"/>
        <v>#DIV/0!</v>
      </c>
      <c r="Z182" s="90" t="e">
        <f t="shared" si="15"/>
        <v>#DIV/0!</v>
      </c>
      <c r="AA182" s="89" t="e">
        <f t="shared" si="16"/>
        <v>#DIV/0!</v>
      </c>
      <c r="AB182" s="6" t="e">
        <f t="shared" si="17"/>
        <v>#DIV/0!</v>
      </c>
      <c r="AC182" s="6" t="e">
        <f t="shared" si="52"/>
        <v>#NUM!</v>
      </c>
      <c r="AD182" s="90" t="e">
        <f t="shared" si="19"/>
        <v>#NUM!</v>
      </c>
      <c r="AE182" s="6" t="e">
        <f t="shared" si="20"/>
        <v>#DIV/0!</v>
      </c>
      <c r="AF182" s="6" t="e">
        <f>IF(SUM(AE183:$AE$245)-SUM(AJ183:$AK$245,AN183:$AN$245)&gt;$E$42,0,IF(SUM($AF$125:AF181)=0,$E$42-(SUM(AE183:$AE$245)-SUM(AJ183:$AK$245,AN183:$AN$245)),AE182-SUM(AJ182:AK182,AN182)))</f>
        <v>#DIV/0!</v>
      </c>
      <c r="AG182" s="89" t="e">
        <f t="shared" si="21"/>
        <v>#DIV/0!</v>
      </c>
      <c r="AH182" s="6" t="e">
        <f t="shared" si="43"/>
        <v>#DIV/0!</v>
      </c>
      <c r="AI182" s="6" t="e">
        <f t="shared" si="22"/>
        <v>#DIV/0!</v>
      </c>
      <c r="AJ182" s="6">
        <f t="shared" si="23"/>
        <v>0</v>
      </c>
      <c r="AK182" s="90">
        <f t="shared" si="24"/>
        <v>0</v>
      </c>
      <c r="AL182" s="6" t="e">
        <f t="shared" si="25"/>
        <v>#DIV/0!</v>
      </c>
      <c r="AM182" s="6" t="e">
        <f t="shared" si="44"/>
        <v>#NUM!</v>
      </c>
      <c r="AN182" s="6">
        <f t="shared" si="26"/>
        <v>0</v>
      </c>
      <c r="AO182" s="6" t="e">
        <f t="shared" si="27"/>
        <v>#DIV/0!</v>
      </c>
      <c r="AP182" s="15">
        <f>IFERROR(XIRR($AO$125:AO182,$D$125:D182),-100%)</f>
        <v>-1</v>
      </c>
      <c r="AQ182" s="129" t="e">
        <f t="shared" si="28"/>
        <v>#NUM!</v>
      </c>
      <c r="AR182" s="300">
        <v>0</v>
      </c>
      <c r="AS182" s="130" t="e">
        <f t="shared" si="53"/>
        <v>#DIV/0!</v>
      </c>
      <c r="AT182" s="10">
        <f>IFERROR(XIRR($AS$125:$AS182,$D$125:$D182),-100%)</f>
        <v>-1</v>
      </c>
      <c r="AU182" s="300">
        <v>0</v>
      </c>
      <c r="AV182" s="130" t="e">
        <f t="shared" si="54"/>
        <v>#DIV/0!</v>
      </c>
      <c r="AW182" s="131">
        <f>IFERROR(XIRR($AV$125:$AV182,$D$125:$D182),-100%)</f>
        <v>-1</v>
      </c>
      <c r="AX182" s="213">
        <f t="shared" si="45"/>
        <v>0</v>
      </c>
      <c r="AY182" s="200" t="e">
        <f t="shared" si="55"/>
        <v>#DIV/0!</v>
      </c>
      <c r="AZ182" s="159">
        <f t="shared" si="56"/>
        <v>0</v>
      </c>
      <c r="BA182" s="148" t="e">
        <f t="shared" si="46"/>
        <v>#NUM!</v>
      </c>
      <c r="BB182" s="6" t="e">
        <f t="shared" si="57"/>
        <v>#NUM!</v>
      </c>
      <c r="BC182" s="6" t="e">
        <f t="shared" si="58"/>
        <v>#NUM!</v>
      </c>
      <c r="BD182" s="149" t="e">
        <f t="shared" si="35"/>
        <v>#NUM!</v>
      </c>
      <c r="BE182" s="148" t="e">
        <f t="shared" si="47"/>
        <v>#NUM!</v>
      </c>
      <c r="BF182" s="6" t="e">
        <f t="shared" si="59"/>
        <v>#NUM!</v>
      </c>
      <c r="BG182" s="6" t="e">
        <f t="shared" si="60"/>
        <v>#DIV/0!</v>
      </c>
      <c r="BH182" s="6" t="e">
        <f t="shared" si="48"/>
        <v>#NUM!</v>
      </c>
      <c r="BI182" s="138" t="e">
        <f t="shared" si="61"/>
        <v>#DIV/0!</v>
      </c>
    </row>
    <row r="183" spans="1:61" x14ac:dyDescent="0.25">
      <c r="A183"/>
      <c r="B183" s="9">
        <f t="shared" si="50"/>
        <v>5</v>
      </c>
      <c r="C183" s="13">
        <v>58</v>
      </c>
      <c r="D183" s="12">
        <f t="shared" si="39"/>
        <v>1796</v>
      </c>
      <c r="E183" s="6">
        <f>INDEX(GC!$G$25:$G$144,MATCH($D183,GC!$C$25:$C$144,0))</f>
        <v>0</v>
      </c>
      <c r="F183" s="6">
        <f>INDEX(GC!$I$25:$I$144,MATCH($D183,GC!$C$25:$C$144,0))</f>
        <v>0</v>
      </c>
      <c r="G183" s="6">
        <f t="shared" si="40"/>
        <v>0</v>
      </c>
      <c r="H183" s="6">
        <f t="shared" si="2"/>
        <v>0</v>
      </c>
      <c r="I183" s="6">
        <f t="shared" si="51"/>
        <v>0</v>
      </c>
      <c r="J183" s="6">
        <f>IF(SUM($I$126:I183)&gt;$E$61, SUM($I$126:I183)-SUM($J$125:J182)-$E$61,0)</f>
        <v>0</v>
      </c>
      <c r="K183" s="6" t="e">
        <f t="shared" si="3"/>
        <v>#DIV/0!</v>
      </c>
      <c r="L183" s="6" t="e">
        <f t="shared" si="4"/>
        <v>#DIV/0!</v>
      </c>
      <c r="M183" s="6" t="e">
        <f t="shared" si="5"/>
        <v>#DIV/0!</v>
      </c>
      <c r="N183" s="6">
        <f t="shared" si="6"/>
        <v>0</v>
      </c>
      <c r="O183" s="6">
        <f t="shared" si="7"/>
        <v>0</v>
      </c>
      <c r="P183" s="6">
        <f t="shared" si="8"/>
        <v>0</v>
      </c>
      <c r="Q183" s="6">
        <f t="shared" si="9"/>
        <v>0</v>
      </c>
      <c r="R183" s="6" t="e">
        <f t="shared" si="41"/>
        <v>#DIV/0!</v>
      </c>
      <c r="S183" s="6" t="e">
        <f t="shared" si="10"/>
        <v>#DIV/0!</v>
      </c>
      <c r="T183" s="11" t="e">
        <f>SUM($R$126:R183)/($E$87)</f>
        <v>#DIV/0!</v>
      </c>
      <c r="U183" s="89" t="e">
        <f t="shared" si="11"/>
        <v>#DIV/0!</v>
      </c>
      <c r="V183" s="6" t="e">
        <f t="shared" si="12"/>
        <v>#DIV/0!</v>
      </c>
      <c r="W183" s="6" t="e">
        <f t="shared" si="42"/>
        <v>#DIV/0!</v>
      </c>
      <c r="X183" s="6" t="e">
        <f t="shared" si="13"/>
        <v>#DIV/0!</v>
      </c>
      <c r="Y183" s="6" t="e">
        <f t="shared" si="14"/>
        <v>#DIV/0!</v>
      </c>
      <c r="Z183" s="90" t="e">
        <f t="shared" si="15"/>
        <v>#DIV/0!</v>
      </c>
      <c r="AA183" s="89" t="e">
        <f t="shared" si="16"/>
        <v>#DIV/0!</v>
      </c>
      <c r="AB183" s="6" t="e">
        <f t="shared" si="17"/>
        <v>#DIV/0!</v>
      </c>
      <c r="AC183" s="6" t="e">
        <f t="shared" si="52"/>
        <v>#NUM!</v>
      </c>
      <c r="AD183" s="90" t="e">
        <f t="shared" si="19"/>
        <v>#NUM!</v>
      </c>
      <c r="AE183" s="6" t="e">
        <f t="shared" si="20"/>
        <v>#DIV/0!</v>
      </c>
      <c r="AF183" s="6" t="e">
        <f>IF(SUM(AE184:$AE$245)-SUM(AJ184:$AK$245,AN184:$AN$245)&gt;$E$42,0,IF(SUM($AF$125:AF182)=0,$E$42-(SUM(AE184:$AE$245)-SUM(AJ184:$AK$245,AN184:$AN$245)),AE183-SUM(AJ183:AK183,AN183)))</f>
        <v>#DIV/0!</v>
      </c>
      <c r="AG183" s="89" t="e">
        <f t="shared" si="21"/>
        <v>#DIV/0!</v>
      </c>
      <c r="AH183" s="6" t="e">
        <f t="shared" si="43"/>
        <v>#DIV/0!</v>
      </c>
      <c r="AI183" s="6" t="e">
        <f t="shared" si="22"/>
        <v>#DIV/0!</v>
      </c>
      <c r="AJ183" s="6">
        <f t="shared" si="23"/>
        <v>0</v>
      </c>
      <c r="AK183" s="90">
        <f t="shared" si="24"/>
        <v>0</v>
      </c>
      <c r="AL183" s="6" t="e">
        <f t="shared" si="25"/>
        <v>#DIV/0!</v>
      </c>
      <c r="AM183" s="6" t="e">
        <f t="shared" si="44"/>
        <v>#NUM!</v>
      </c>
      <c r="AN183" s="6">
        <f t="shared" si="26"/>
        <v>0</v>
      </c>
      <c r="AO183" s="6" t="e">
        <f t="shared" si="27"/>
        <v>#DIV/0!</v>
      </c>
      <c r="AP183" s="15">
        <f>IFERROR(XIRR($AO$125:AO183,$D$125:D183),-100%)</f>
        <v>-1</v>
      </c>
      <c r="AQ183" s="129" t="e">
        <f t="shared" si="28"/>
        <v>#NUM!</v>
      </c>
      <c r="AR183" s="300">
        <v>0</v>
      </c>
      <c r="AS183" s="130" t="e">
        <f t="shared" si="53"/>
        <v>#DIV/0!</v>
      </c>
      <c r="AT183" s="10">
        <f>IFERROR(XIRR($AS$125:$AS183,$D$125:$D183),-100%)</f>
        <v>-1</v>
      </c>
      <c r="AU183" s="300">
        <v>0</v>
      </c>
      <c r="AV183" s="130" t="e">
        <f t="shared" si="54"/>
        <v>#DIV/0!</v>
      </c>
      <c r="AW183" s="131">
        <f>IFERROR(XIRR($AV$125:$AV183,$D$125:$D183),-100%)</f>
        <v>-1</v>
      </c>
      <c r="AX183" s="213">
        <f t="shared" si="45"/>
        <v>0</v>
      </c>
      <c r="AY183" s="200" t="e">
        <f t="shared" si="55"/>
        <v>#DIV/0!</v>
      </c>
      <c r="AZ183" s="159">
        <f t="shared" si="56"/>
        <v>0</v>
      </c>
      <c r="BA183" s="148" t="e">
        <f t="shared" si="46"/>
        <v>#NUM!</v>
      </c>
      <c r="BB183" s="6" t="e">
        <f t="shared" si="57"/>
        <v>#NUM!</v>
      </c>
      <c r="BC183" s="6" t="e">
        <f t="shared" si="58"/>
        <v>#NUM!</v>
      </c>
      <c r="BD183" s="149" t="e">
        <f t="shared" si="35"/>
        <v>#NUM!</v>
      </c>
      <c r="BE183" s="148" t="e">
        <f t="shared" si="47"/>
        <v>#NUM!</v>
      </c>
      <c r="BF183" s="6" t="e">
        <f t="shared" si="59"/>
        <v>#NUM!</v>
      </c>
      <c r="BG183" s="6" t="e">
        <f t="shared" si="60"/>
        <v>#DIV/0!</v>
      </c>
      <c r="BH183" s="6" t="e">
        <f t="shared" si="48"/>
        <v>#NUM!</v>
      </c>
      <c r="BI183" s="138" t="e">
        <f t="shared" si="61"/>
        <v>#DIV/0!</v>
      </c>
    </row>
    <row r="184" spans="1:61" x14ac:dyDescent="0.25">
      <c r="A184"/>
      <c r="B184" s="9">
        <f t="shared" si="50"/>
        <v>5</v>
      </c>
      <c r="C184" s="13">
        <v>59</v>
      </c>
      <c r="D184" s="12">
        <f t="shared" si="39"/>
        <v>1827</v>
      </c>
      <c r="E184" s="6">
        <f>INDEX(GC!$G$25:$G$144,MATCH($D184,GC!$C$25:$C$144,0))</f>
        <v>0</v>
      </c>
      <c r="F184" s="6">
        <f>INDEX(GC!$I$25:$I$144,MATCH($D184,GC!$C$25:$C$144,0))</f>
        <v>0</v>
      </c>
      <c r="G184" s="6">
        <f t="shared" si="40"/>
        <v>0</v>
      </c>
      <c r="H184" s="6">
        <f t="shared" si="2"/>
        <v>0</v>
      </c>
      <c r="I184" s="6">
        <f t="shared" si="51"/>
        <v>0</v>
      </c>
      <c r="J184" s="6">
        <f>IF(SUM($I$126:I184)&gt;$E$61, SUM($I$126:I184)-SUM($J$125:J183)-$E$61,0)</f>
        <v>0</v>
      </c>
      <c r="K184" s="6" t="e">
        <f t="shared" si="3"/>
        <v>#DIV/0!</v>
      </c>
      <c r="L184" s="6" t="e">
        <f t="shared" si="4"/>
        <v>#DIV/0!</v>
      </c>
      <c r="M184" s="6" t="e">
        <f t="shared" si="5"/>
        <v>#DIV/0!</v>
      </c>
      <c r="N184" s="6">
        <f t="shared" si="6"/>
        <v>0</v>
      </c>
      <c r="O184" s="6">
        <f t="shared" si="7"/>
        <v>0</v>
      </c>
      <c r="P184" s="6">
        <f t="shared" si="8"/>
        <v>0</v>
      </c>
      <c r="Q184" s="6">
        <f t="shared" si="9"/>
        <v>0</v>
      </c>
      <c r="R184" s="6" t="e">
        <f t="shared" si="41"/>
        <v>#DIV/0!</v>
      </c>
      <c r="S184" s="6" t="e">
        <f t="shared" si="10"/>
        <v>#DIV/0!</v>
      </c>
      <c r="T184" s="11" t="e">
        <f>SUM($R$126:R184)/($E$87)</f>
        <v>#DIV/0!</v>
      </c>
      <c r="U184" s="89" t="e">
        <f t="shared" si="11"/>
        <v>#DIV/0!</v>
      </c>
      <c r="V184" s="6" t="e">
        <f t="shared" si="12"/>
        <v>#DIV/0!</v>
      </c>
      <c r="W184" s="6" t="e">
        <f t="shared" si="42"/>
        <v>#DIV/0!</v>
      </c>
      <c r="X184" s="6" t="e">
        <f t="shared" si="13"/>
        <v>#DIV/0!</v>
      </c>
      <c r="Y184" s="6" t="e">
        <f t="shared" si="14"/>
        <v>#DIV/0!</v>
      </c>
      <c r="Z184" s="90" t="e">
        <f t="shared" si="15"/>
        <v>#DIV/0!</v>
      </c>
      <c r="AA184" s="89" t="e">
        <f t="shared" si="16"/>
        <v>#DIV/0!</v>
      </c>
      <c r="AB184" s="6" t="e">
        <f t="shared" si="17"/>
        <v>#DIV/0!</v>
      </c>
      <c r="AC184" s="6" t="e">
        <f t="shared" si="52"/>
        <v>#NUM!</v>
      </c>
      <c r="AD184" s="90" t="e">
        <f t="shared" si="19"/>
        <v>#NUM!</v>
      </c>
      <c r="AE184" s="6" t="e">
        <f t="shared" si="20"/>
        <v>#DIV/0!</v>
      </c>
      <c r="AF184" s="6" t="e">
        <f>IF(SUM(AE185:$AE$245)-SUM(AJ185:$AK$245,AN185:$AN$245)&gt;$E$42,0,IF(SUM($AF$125:AF183)=0,$E$42-(SUM(AE185:$AE$245)-SUM(AJ185:$AK$245,AN185:$AN$245)),AE184-SUM(AJ184:AK184,AN184)))</f>
        <v>#DIV/0!</v>
      </c>
      <c r="AG184" s="89" t="e">
        <f t="shared" si="21"/>
        <v>#DIV/0!</v>
      </c>
      <c r="AH184" s="6" t="e">
        <f t="shared" si="43"/>
        <v>#DIV/0!</v>
      </c>
      <c r="AI184" s="6" t="e">
        <f t="shared" si="22"/>
        <v>#DIV/0!</v>
      </c>
      <c r="AJ184" s="6">
        <f t="shared" si="23"/>
        <v>0</v>
      </c>
      <c r="AK184" s="90">
        <f t="shared" si="24"/>
        <v>0</v>
      </c>
      <c r="AL184" s="6" t="e">
        <f t="shared" si="25"/>
        <v>#DIV/0!</v>
      </c>
      <c r="AM184" s="6" t="e">
        <f t="shared" si="44"/>
        <v>#NUM!</v>
      </c>
      <c r="AN184" s="6">
        <f t="shared" si="26"/>
        <v>0</v>
      </c>
      <c r="AO184" s="6" t="e">
        <f t="shared" si="27"/>
        <v>#DIV/0!</v>
      </c>
      <c r="AP184" s="15">
        <f>IFERROR(XIRR($AO$125:AO184,$D$125:D184),-100%)</f>
        <v>-1</v>
      </c>
      <c r="AQ184" s="129" t="e">
        <f t="shared" si="28"/>
        <v>#NUM!</v>
      </c>
      <c r="AR184" s="300">
        <v>0</v>
      </c>
      <c r="AS184" s="130" t="e">
        <f t="shared" si="53"/>
        <v>#DIV/0!</v>
      </c>
      <c r="AT184" s="10">
        <f>IFERROR(XIRR($AS$125:$AS184,$D$125:$D184),-100%)</f>
        <v>-1</v>
      </c>
      <c r="AU184" s="300">
        <v>0</v>
      </c>
      <c r="AV184" s="130" t="e">
        <f t="shared" si="54"/>
        <v>#DIV/0!</v>
      </c>
      <c r="AW184" s="131">
        <f>IFERROR(XIRR($AV$125:$AV184,$D$125:$D184),-100%)</f>
        <v>-1</v>
      </c>
      <c r="AX184" s="213">
        <f t="shared" si="45"/>
        <v>0</v>
      </c>
      <c r="AY184" s="200" t="e">
        <f t="shared" si="55"/>
        <v>#DIV/0!</v>
      </c>
      <c r="AZ184" s="159">
        <f t="shared" si="56"/>
        <v>0</v>
      </c>
      <c r="BA184" s="148" t="e">
        <f t="shared" si="46"/>
        <v>#NUM!</v>
      </c>
      <c r="BB184" s="6" t="e">
        <f t="shared" si="57"/>
        <v>#NUM!</v>
      </c>
      <c r="BC184" s="6" t="e">
        <f t="shared" si="58"/>
        <v>#NUM!</v>
      </c>
      <c r="BD184" s="149" t="e">
        <f t="shared" si="35"/>
        <v>#NUM!</v>
      </c>
      <c r="BE184" s="148" t="e">
        <f t="shared" si="47"/>
        <v>#NUM!</v>
      </c>
      <c r="BF184" s="6" t="e">
        <f t="shared" si="59"/>
        <v>#NUM!</v>
      </c>
      <c r="BG184" s="6" t="e">
        <f t="shared" si="60"/>
        <v>#DIV/0!</v>
      </c>
      <c r="BH184" s="6" t="e">
        <f t="shared" si="48"/>
        <v>#NUM!</v>
      </c>
      <c r="BI184" s="138" t="e">
        <f t="shared" si="61"/>
        <v>#DIV/0!</v>
      </c>
    </row>
    <row r="185" spans="1:61" x14ac:dyDescent="0.25">
      <c r="A185"/>
      <c r="B185" s="9">
        <f t="shared" si="50"/>
        <v>5</v>
      </c>
      <c r="C185" s="13">
        <v>60</v>
      </c>
      <c r="D185" s="12">
        <f t="shared" si="39"/>
        <v>1858</v>
      </c>
      <c r="E185" s="6">
        <f>INDEX(GC!$G$25:$G$144,MATCH($D185,GC!$C$25:$C$144,0))</f>
        <v>0</v>
      </c>
      <c r="F185" s="6">
        <f>INDEX(GC!$I$25:$I$144,MATCH($D185,GC!$C$25:$C$144,0))</f>
        <v>0</v>
      </c>
      <c r="G185" s="6">
        <f t="shared" si="40"/>
        <v>0</v>
      </c>
      <c r="H185" s="6">
        <f t="shared" si="2"/>
        <v>0</v>
      </c>
      <c r="I185" s="6">
        <f t="shared" si="51"/>
        <v>0</v>
      </c>
      <c r="J185" s="6">
        <f>IF(SUM($I$126:I185)&gt;$E$61, SUM($I$126:I185)-SUM($J$125:J184)-$E$61,0)</f>
        <v>0</v>
      </c>
      <c r="K185" s="6" t="e">
        <f t="shared" si="3"/>
        <v>#DIV/0!</v>
      </c>
      <c r="L185" s="6" t="e">
        <f t="shared" si="4"/>
        <v>#DIV/0!</v>
      </c>
      <c r="M185" s="6" t="e">
        <f t="shared" si="5"/>
        <v>#DIV/0!</v>
      </c>
      <c r="N185" s="6">
        <f t="shared" si="6"/>
        <v>0</v>
      </c>
      <c r="O185" s="6">
        <f t="shared" si="7"/>
        <v>0</v>
      </c>
      <c r="P185" s="6">
        <f t="shared" si="8"/>
        <v>0</v>
      </c>
      <c r="Q185" s="6">
        <f t="shared" si="9"/>
        <v>0</v>
      </c>
      <c r="R185" s="6" t="e">
        <f t="shared" si="41"/>
        <v>#DIV/0!</v>
      </c>
      <c r="S185" s="6" t="e">
        <f t="shared" si="10"/>
        <v>#DIV/0!</v>
      </c>
      <c r="T185" s="11" t="e">
        <f>SUM($R$126:R185)/($E$87)</f>
        <v>#DIV/0!</v>
      </c>
      <c r="U185" s="89" t="e">
        <f t="shared" si="11"/>
        <v>#DIV/0!</v>
      </c>
      <c r="V185" s="6" t="e">
        <f t="shared" si="12"/>
        <v>#DIV/0!</v>
      </c>
      <c r="W185" s="6" t="e">
        <f t="shared" si="42"/>
        <v>#DIV/0!</v>
      </c>
      <c r="X185" s="6" t="e">
        <f t="shared" si="13"/>
        <v>#DIV/0!</v>
      </c>
      <c r="Y185" s="6" t="e">
        <f t="shared" si="14"/>
        <v>#DIV/0!</v>
      </c>
      <c r="Z185" s="90" t="e">
        <f t="shared" si="15"/>
        <v>#DIV/0!</v>
      </c>
      <c r="AA185" s="89" t="e">
        <f t="shared" si="16"/>
        <v>#DIV/0!</v>
      </c>
      <c r="AB185" s="6" t="e">
        <f t="shared" si="17"/>
        <v>#DIV/0!</v>
      </c>
      <c r="AC185" s="6" t="e">
        <f t="shared" si="52"/>
        <v>#NUM!</v>
      </c>
      <c r="AD185" s="90" t="e">
        <f t="shared" si="19"/>
        <v>#NUM!</v>
      </c>
      <c r="AE185" s="6" t="e">
        <f t="shared" si="20"/>
        <v>#DIV/0!</v>
      </c>
      <c r="AF185" s="6" t="e">
        <f>IF(SUM(AE186:$AE$245)-SUM(AJ186:$AK$245,AN186:$AN$245)&gt;$E$42,0,IF(SUM($AF$125:AF184)=0,$E$42-(SUM(AE186:$AE$245)-SUM(AJ186:$AK$245,AN186:$AN$245)),AE185-SUM(AJ185:AK185,AN185)))</f>
        <v>#DIV/0!</v>
      </c>
      <c r="AG185" s="89" t="e">
        <f t="shared" si="21"/>
        <v>#DIV/0!</v>
      </c>
      <c r="AH185" s="6" t="e">
        <f t="shared" si="43"/>
        <v>#DIV/0!</v>
      </c>
      <c r="AI185" s="6" t="e">
        <f t="shared" si="22"/>
        <v>#DIV/0!</v>
      </c>
      <c r="AJ185" s="6">
        <f t="shared" si="23"/>
        <v>0</v>
      </c>
      <c r="AK185" s="90">
        <f t="shared" si="24"/>
        <v>0</v>
      </c>
      <c r="AL185" s="6" t="e">
        <f t="shared" si="25"/>
        <v>#DIV/0!</v>
      </c>
      <c r="AM185" s="6" t="e">
        <f t="shared" si="44"/>
        <v>#NUM!</v>
      </c>
      <c r="AN185" s="6">
        <f t="shared" si="26"/>
        <v>0</v>
      </c>
      <c r="AO185" s="6" t="e">
        <f t="shared" si="27"/>
        <v>#DIV/0!</v>
      </c>
      <c r="AP185" s="15">
        <f>IFERROR(XIRR($AO$125:AO185,$D$125:D185),-100%)</f>
        <v>-1</v>
      </c>
      <c r="AQ185" s="129" t="e">
        <f t="shared" si="28"/>
        <v>#NUM!</v>
      </c>
      <c r="AR185" s="300">
        <v>0</v>
      </c>
      <c r="AS185" s="130" t="e">
        <f t="shared" si="53"/>
        <v>#DIV/0!</v>
      </c>
      <c r="AT185" s="10">
        <f>IFERROR(XIRR($AS$125:$AS185,$D$125:$D185),-100%)</f>
        <v>-1</v>
      </c>
      <c r="AU185" s="300">
        <v>0</v>
      </c>
      <c r="AV185" s="130" t="e">
        <f t="shared" si="54"/>
        <v>#DIV/0!</v>
      </c>
      <c r="AW185" s="131">
        <f>IFERROR(XIRR($AV$125:$AV185,$D$125:$D185),-100%)</f>
        <v>-1</v>
      </c>
      <c r="AX185" s="213">
        <f t="shared" si="45"/>
        <v>0</v>
      </c>
      <c r="AY185" s="200" t="e">
        <f t="shared" si="55"/>
        <v>#DIV/0!</v>
      </c>
      <c r="AZ185" s="159">
        <f t="shared" si="56"/>
        <v>0</v>
      </c>
      <c r="BA185" s="148" t="e">
        <f t="shared" si="46"/>
        <v>#NUM!</v>
      </c>
      <c r="BB185" s="6" t="e">
        <f t="shared" si="57"/>
        <v>#NUM!</v>
      </c>
      <c r="BC185" s="6" t="e">
        <f t="shared" si="58"/>
        <v>#NUM!</v>
      </c>
      <c r="BD185" s="149" t="e">
        <f t="shared" si="35"/>
        <v>#NUM!</v>
      </c>
      <c r="BE185" s="148" t="e">
        <f t="shared" si="47"/>
        <v>#NUM!</v>
      </c>
      <c r="BF185" s="6" t="e">
        <f t="shared" si="59"/>
        <v>#NUM!</v>
      </c>
      <c r="BG185" s="6" t="e">
        <f t="shared" si="60"/>
        <v>#DIV/0!</v>
      </c>
      <c r="BH185" s="6" t="e">
        <f t="shared" si="48"/>
        <v>#NUM!</v>
      </c>
      <c r="BI185" s="138" t="e">
        <f t="shared" si="61"/>
        <v>#DIV/0!</v>
      </c>
    </row>
    <row r="186" spans="1:61" x14ac:dyDescent="0.25">
      <c r="A186"/>
      <c r="B186" s="9">
        <f t="shared" si="50"/>
        <v>6</v>
      </c>
      <c r="C186" s="13">
        <v>61</v>
      </c>
      <c r="D186" s="12">
        <f t="shared" si="39"/>
        <v>1886</v>
      </c>
      <c r="E186" s="6">
        <f>INDEX(GC!$G$25:$G$144,MATCH($D186,GC!$C$25:$C$144,0))</f>
        <v>0</v>
      </c>
      <c r="F186" s="6">
        <f>INDEX(GC!$I$25:$I$144,MATCH($D186,GC!$C$25:$C$144,0))</f>
        <v>0</v>
      </c>
      <c r="G186" s="6">
        <f t="shared" si="40"/>
        <v>0</v>
      </c>
      <c r="H186" s="6">
        <f t="shared" si="2"/>
        <v>0</v>
      </c>
      <c r="I186" s="6">
        <f t="shared" si="51"/>
        <v>0</v>
      </c>
      <c r="J186" s="6">
        <f>IF(SUM($I$126:I186)&gt;$E$61, SUM($I$126:I186)-SUM($J$125:J185)-$E$61,0)</f>
        <v>0</v>
      </c>
      <c r="K186" s="6" t="e">
        <f t="shared" si="3"/>
        <v>#DIV/0!</v>
      </c>
      <c r="L186" s="6" t="e">
        <f t="shared" si="4"/>
        <v>#DIV/0!</v>
      </c>
      <c r="M186" s="6" t="e">
        <f t="shared" si="5"/>
        <v>#DIV/0!</v>
      </c>
      <c r="N186" s="6">
        <f t="shared" si="6"/>
        <v>0</v>
      </c>
      <c r="O186" s="6">
        <f t="shared" si="7"/>
        <v>0</v>
      </c>
      <c r="P186" s="6">
        <f t="shared" si="8"/>
        <v>0</v>
      </c>
      <c r="Q186" s="6">
        <f t="shared" si="9"/>
        <v>0</v>
      </c>
      <c r="R186" s="6" t="e">
        <f t="shared" si="41"/>
        <v>#DIV/0!</v>
      </c>
      <c r="S186" s="6" t="e">
        <f t="shared" si="10"/>
        <v>#DIV/0!</v>
      </c>
      <c r="T186" s="11" t="e">
        <f>SUM($R$126:R186)/($E$87)</f>
        <v>#DIV/0!</v>
      </c>
      <c r="U186" s="89" t="e">
        <f t="shared" si="11"/>
        <v>#DIV/0!</v>
      </c>
      <c r="V186" s="6" t="e">
        <f t="shared" si="12"/>
        <v>#DIV/0!</v>
      </c>
      <c r="W186" s="6" t="e">
        <f t="shared" si="42"/>
        <v>#DIV/0!</v>
      </c>
      <c r="X186" s="6" t="e">
        <f t="shared" si="13"/>
        <v>#DIV/0!</v>
      </c>
      <c r="Y186" s="6" t="e">
        <f t="shared" si="14"/>
        <v>#DIV/0!</v>
      </c>
      <c r="Z186" s="90" t="e">
        <f t="shared" si="15"/>
        <v>#DIV/0!</v>
      </c>
      <c r="AA186" s="89" t="e">
        <f t="shared" si="16"/>
        <v>#DIV/0!</v>
      </c>
      <c r="AB186" s="6" t="e">
        <f t="shared" si="17"/>
        <v>#DIV/0!</v>
      </c>
      <c r="AC186" s="6" t="e">
        <f t="shared" si="52"/>
        <v>#NUM!</v>
      </c>
      <c r="AD186" s="90" t="e">
        <f t="shared" si="19"/>
        <v>#NUM!</v>
      </c>
      <c r="AE186" s="6" t="e">
        <f t="shared" si="20"/>
        <v>#DIV/0!</v>
      </c>
      <c r="AF186" s="6" t="e">
        <f>IF(SUM(AE187:$AE$245)-SUM(AJ187:$AK$245,AN187:$AN$245)&gt;$E$42,0,IF(SUM($AF$125:AF185)=0,$E$42-(SUM(AE187:$AE$245)-SUM(AJ187:$AK$245,AN187:$AN$245)),AE186-SUM(AJ186:AK186,AN186)))</f>
        <v>#DIV/0!</v>
      </c>
      <c r="AG186" s="89" t="e">
        <f t="shared" si="21"/>
        <v>#DIV/0!</v>
      </c>
      <c r="AH186" s="6" t="e">
        <f t="shared" si="43"/>
        <v>#DIV/0!</v>
      </c>
      <c r="AI186" s="6" t="e">
        <f t="shared" si="22"/>
        <v>#DIV/0!</v>
      </c>
      <c r="AJ186" s="6">
        <f t="shared" si="23"/>
        <v>0</v>
      </c>
      <c r="AK186" s="90">
        <f t="shared" si="24"/>
        <v>0</v>
      </c>
      <c r="AL186" s="6" t="e">
        <f t="shared" si="25"/>
        <v>#DIV/0!</v>
      </c>
      <c r="AM186" s="6" t="e">
        <f t="shared" si="44"/>
        <v>#NUM!</v>
      </c>
      <c r="AN186" s="6">
        <f t="shared" si="26"/>
        <v>0</v>
      </c>
      <c r="AO186" s="6" t="e">
        <f t="shared" si="27"/>
        <v>#DIV/0!</v>
      </c>
      <c r="AP186" s="15">
        <f>IFERROR(XIRR($AO$125:AO186,$D$125:D186),-100%)</f>
        <v>-1</v>
      </c>
      <c r="AQ186" s="129" t="e">
        <f t="shared" si="28"/>
        <v>#NUM!</v>
      </c>
      <c r="AR186" s="300">
        <v>0</v>
      </c>
      <c r="AS186" s="130" t="e">
        <f t="shared" si="53"/>
        <v>#DIV/0!</v>
      </c>
      <c r="AT186" s="10">
        <f>IFERROR(XIRR($AS$125:$AS186,$D$125:$D186),-100%)</f>
        <v>-1</v>
      </c>
      <c r="AU186" s="300">
        <v>0</v>
      </c>
      <c r="AV186" s="130" t="e">
        <f t="shared" si="54"/>
        <v>#DIV/0!</v>
      </c>
      <c r="AW186" s="131">
        <f>IFERROR(XIRR($AV$125:$AV186,$D$125:$D186),-100%)</f>
        <v>-1</v>
      </c>
      <c r="AX186" s="213">
        <f t="shared" si="45"/>
        <v>0</v>
      </c>
      <c r="AY186" s="200" t="e">
        <f t="shared" si="55"/>
        <v>#DIV/0!</v>
      </c>
      <c r="AZ186" s="159">
        <f t="shared" si="56"/>
        <v>0</v>
      </c>
      <c r="BA186" s="148" t="e">
        <f t="shared" si="46"/>
        <v>#NUM!</v>
      </c>
      <c r="BB186" s="6" t="e">
        <f t="shared" si="57"/>
        <v>#NUM!</v>
      </c>
      <c r="BC186" s="6" t="e">
        <f t="shared" si="58"/>
        <v>#NUM!</v>
      </c>
      <c r="BD186" s="149" t="e">
        <f t="shared" si="35"/>
        <v>#NUM!</v>
      </c>
      <c r="BE186" s="148" t="e">
        <f t="shared" si="47"/>
        <v>#NUM!</v>
      </c>
      <c r="BF186" s="6" t="e">
        <f t="shared" si="59"/>
        <v>#NUM!</v>
      </c>
      <c r="BG186" s="6" t="e">
        <f t="shared" si="60"/>
        <v>#DIV/0!</v>
      </c>
      <c r="BH186" s="6" t="e">
        <f t="shared" si="48"/>
        <v>#NUM!</v>
      </c>
      <c r="BI186" s="138" t="e">
        <f t="shared" si="61"/>
        <v>#DIV/0!</v>
      </c>
    </row>
    <row r="187" spans="1:61" x14ac:dyDescent="0.25">
      <c r="A187"/>
      <c r="B187" s="9">
        <f t="shared" si="50"/>
        <v>6</v>
      </c>
      <c r="C187" s="13">
        <v>62</v>
      </c>
      <c r="D187" s="12">
        <f t="shared" si="39"/>
        <v>1917</v>
      </c>
      <c r="E187" s="6">
        <f>INDEX(GC!$G$25:$G$144,MATCH($D187,GC!$C$25:$C$144,0))</f>
        <v>0</v>
      </c>
      <c r="F187" s="6">
        <f>INDEX(GC!$I$25:$I$144,MATCH($D187,GC!$C$25:$C$144,0))</f>
        <v>0</v>
      </c>
      <c r="G187" s="6">
        <f t="shared" si="40"/>
        <v>0</v>
      </c>
      <c r="H187" s="6">
        <f t="shared" si="2"/>
        <v>0</v>
      </c>
      <c r="I187" s="6">
        <f t="shared" si="51"/>
        <v>0</v>
      </c>
      <c r="J187" s="6">
        <f>IF(SUM($I$126:I187)&gt;$E$61, SUM($I$126:I187)-SUM($J$125:J186)-$E$61,0)</f>
        <v>0</v>
      </c>
      <c r="K187" s="6" t="e">
        <f t="shared" si="3"/>
        <v>#DIV/0!</v>
      </c>
      <c r="L187" s="6" t="e">
        <f t="shared" si="4"/>
        <v>#DIV/0!</v>
      </c>
      <c r="M187" s="6" t="e">
        <f t="shared" si="5"/>
        <v>#DIV/0!</v>
      </c>
      <c r="N187" s="6">
        <f t="shared" si="6"/>
        <v>0</v>
      </c>
      <c r="O187" s="6">
        <f t="shared" si="7"/>
        <v>0</v>
      </c>
      <c r="P187" s="6">
        <f t="shared" si="8"/>
        <v>0</v>
      </c>
      <c r="Q187" s="6">
        <f t="shared" si="9"/>
        <v>0</v>
      </c>
      <c r="R187" s="6" t="e">
        <f t="shared" si="41"/>
        <v>#DIV/0!</v>
      </c>
      <c r="S187" s="6" t="e">
        <f t="shared" si="10"/>
        <v>#DIV/0!</v>
      </c>
      <c r="T187" s="11" t="e">
        <f>SUM($R$126:R187)/($E$87)</f>
        <v>#DIV/0!</v>
      </c>
      <c r="U187" s="89" t="e">
        <f t="shared" si="11"/>
        <v>#DIV/0!</v>
      </c>
      <c r="V187" s="6" t="e">
        <f t="shared" si="12"/>
        <v>#DIV/0!</v>
      </c>
      <c r="W187" s="6" t="e">
        <f t="shared" si="42"/>
        <v>#DIV/0!</v>
      </c>
      <c r="X187" s="6" t="e">
        <f t="shared" si="13"/>
        <v>#DIV/0!</v>
      </c>
      <c r="Y187" s="6" t="e">
        <f t="shared" si="14"/>
        <v>#DIV/0!</v>
      </c>
      <c r="Z187" s="90" t="e">
        <f t="shared" si="15"/>
        <v>#DIV/0!</v>
      </c>
      <c r="AA187" s="89" t="e">
        <f t="shared" si="16"/>
        <v>#DIV/0!</v>
      </c>
      <c r="AB187" s="6" t="e">
        <f t="shared" si="17"/>
        <v>#DIV/0!</v>
      </c>
      <c r="AC187" s="6" t="e">
        <f t="shared" si="52"/>
        <v>#NUM!</v>
      </c>
      <c r="AD187" s="90" t="e">
        <f t="shared" si="19"/>
        <v>#NUM!</v>
      </c>
      <c r="AE187" s="6" t="e">
        <f t="shared" si="20"/>
        <v>#DIV/0!</v>
      </c>
      <c r="AF187" s="6" t="e">
        <f>IF(SUM(AE188:$AE$245)-SUM(AJ188:$AK$245,AN188:$AN$245)&gt;$E$42,0,IF(SUM($AF$125:AF186)=0,$E$42-(SUM(AE188:$AE$245)-SUM(AJ188:$AK$245,AN188:$AN$245)),AE187-SUM(AJ187:AK187,AN187)))</f>
        <v>#DIV/0!</v>
      </c>
      <c r="AG187" s="89" t="e">
        <f t="shared" si="21"/>
        <v>#DIV/0!</v>
      </c>
      <c r="AH187" s="6" t="e">
        <f t="shared" si="43"/>
        <v>#DIV/0!</v>
      </c>
      <c r="AI187" s="6" t="e">
        <f t="shared" si="22"/>
        <v>#DIV/0!</v>
      </c>
      <c r="AJ187" s="6">
        <f t="shared" si="23"/>
        <v>0</v>
      </c>
      <c r="AK187" s="90">
        <f t="shared" si="24"/>
        <v>0</v>
      </c>
      <c r="AL187" s="6" t="e">
        <f t="shared" si="25"/>
        <v>#DIV/0!</v>
      </c>
      <c r="AM187" s="6" t="e">
        <f t="shared" si="44"/>
        <v>#NUM!</v>
      </c>
      <c r="AN187" s="6">
        <f t="shared" si="26"/>
        <v>0</v>
      </c>
      <c r="AO187" s="6" t="e">
        <f t="shared" si="27"/>
        <v>#DIV/0!</v>
      </c>
      <c r="AP187" s="15">
        <f>IFERROR(XIRR($AO$125:AO187,$D$125:D187),-100%)</f>
        <v>-1</v>
      </c>
      <c r="AQ187" s="129" t="e">
        <f t="shared" si="28"/>
        <v>#NUM!</v>
      </c>
      <c r="AR187" s="300">
        <v>0</v>
      </c>
      <c r="AS187" s="130" t="e">
        <f t="shared" si="53"/>
        <v>#DIV/0!</v>
      </c>
      <c r="AT187" s="10">
        <f>IFERROR(XIRR($AS$125:$AS187,$D$125:$D187),-100%)</f>
        <v>-1</v>
      </c>
      <c r="AU187" s="300">
        <v>0</v>
      </c>
      <c r="AV187" s="130" t="e">
        <f t="shared" si="54"/>
        <v>#DIV/0!</v>
      </c>
      <c r="AW187" s="131">
        <f>IFERROR(XIRR($AV$125:$AV187,$D$125:$D187),-100%)</f>
        <v>-1</v>
      </c>
      <c r="AX187" s="213">
        <f t="shared" si="45"/>
        <v>0</v>
      </c>
      <c r="AY187" s="200" t="e">
        <f t="shared" si="55"/>
        <v>#DIV/0!</v>
      </c>
      <c r="AZ187" s="159">
        <f t="shared" si="56"/>
        <v>0</v>
      </c>
      <c r="BA187" s="148" t="e">
        <f t="shared" si="46"/>
        <v>#NUM!</v>
      </c>
      <c r="BB187" s="6" t="e">
        <f t="shared" si="57"/>
        <v>#NUM!</v>
      </c>
      <c r="BC187" s="6" t="e">
        <f t="shared" si="58"/>
        <v>#NUM!</v>
      </c>
      <c r="BD187" s="149" t="e">
        <f t="shared" si="35"/>
        <v>#NUM!</v>
      </c>
      <c r="BE187" s="148" t="e">
        <f t="shared" si="47"/>
        <v>#NUM!</v>
      </c>
      <c r="BF187" s="6" t="e">
        <f t="shared" si="59"/>
        <v>#NUM!</v>
      </c>
      <c r="BG187" s="6" t="e">
        <f t="shared" si="60"/>
        <v>#DIV/0!</v>
      </c>
      <c r="BH187" s="6" t="e">
        <f t="shared" si="48"/>
        <v>#NUM!</v>
      </c>
      <c r="BI187" s="138" t="e">
        <f t="shared" si="61"/>
        <v>#DIV/0!</v>
      </c>
    </row>
    <row r="188" spans="1:61" x14ac:dyDescent="0.25">
      <c r="A188"/>
      <c r="B188" s="9">
        <f t="shared" si="50"/>
        <v>6</v>
      </c>
      <c r="C188" s="13">
        <v>63</v>
      </c>
      <c r="D188" s="12">
        <f t="shared" si="39"/>
        <v>1947</v>
      </c>
      <c r="E188" s="6">
        <f>INDEX(GC!$G$25:$G$144,MATCH($D188,GC!$C$25:$C$144,0))</f>
        <v>0</v>
      </c>
      <c r="F188" s="6">
        <f>INDEX(GC!$I$25:$I$144,MATCH($D188,GC!$C$25:$C$144,0))</f>
        <v>0</v>
      </c>
      <c r="G188" s="6">
        <f t="shared" si="40"/>
        <v>0</v>
      </c>
      <c r="H188" s="6">
        <f t="shared" si="2"/>
        <v>0</v>
      </c>
      <c r="I188" s="6">
        <f t="shared" si="51"/>
        <v>0</v>
      </c>
      <c r="J188" s="6">
        <f>IF(SUM($I$126:I188)&gt;$E$61, SUM($I$126:I188)-SUM($J$125:J187)-$E$61,0)</f>
        <v>0</v>
      </c>
      <c r="K188" s="6" t="e">
        <f t="shared" si="3"/>
        <v>#DIV/0!</v>
      </c>
      <c r="L188" s="6" t="e">
        <f t="shared" si="4"/>
        <v>#DIV/0!</v>
      </c>
      <c r="M188" s="6" t="e">
        <f t="shared" si="5"/>
        <v>#DIV/0!</v>
      </c>
      <c r="N188" s="6">
        <f t="shared" si="6"/>
        <v>0</v>
      </c>
      <c r="O188" s="6">
        <f t="shared" si="7"/>
        <v>0</v>
      </c>
      <c r="P188" s="6">
        <f t="shared" si="8"/>
        <v>0</v>
      </c>
      <c r="Q188" s="6">
        <f t="shared" si="9"/>
        <v>0</v>
      </c>
      <c r="R188" s="6" t="e">
        <f t="shared" si="41"/>
        <v>#DIV/0!</v>
      </c>
      <c r="S188" s="6" t="e">
        <f t="shared" si="10"/>
        <v>#DIV/0!</v>
      </c>
      <c r="T188" s="11" t="e">
        <f>SUM($R$126:R188)/($E$87)</f>
        <v>#DIV/0!</v>
      </c>
      <c r="U188" s="89" t="e">
        <f t="shared" si="11"/>
        <v>#DIV/0!</v>
      </c>
      <c r="V188" s="6" t="e">
        <f t="shared" si="12"/>
        <v>#DIV/0!</v>
      </c>
      <c r="W188" s="6" t="e">
        <f t="shared" si="42"/>
        <v>#DIV/0!</v>
      </c>
      <c r="X188" s="6" t="e">
        <f t="shared" si="13"/>
        <v>#DIV/0!</v>
      </c>
      <c r="Y188" s="6" t="e">
        <f t="shared" si="14"/>
        <v>#DIV/0!</v>
      </c>
      <c r="Z188" s="90" t="e">
        <f t="shared" si="15"/>
        <v>#DIV/0!</v>
      </c>
      <c r="AA188" s="89" t="e">
        <f t="shared" si="16"/>
        <v>#DIV/0!</v>
      </c>
      <c r="AB188" s="6" t="e">
        <f t="shared" si="17"/>
        <v>#DIV/0!</v>
      </c>
      <c r="AC188" s="6" t="e">
        <f t="shared" si="52"/>
        <v>#NUM!</v>
      </c>
      <c r="AD188" s="90" t="e">
        <f t="shared" si="19"/>
        <v>#NUM!</v>
      </c>
      <c r="AE188" s="6" t="e">
        <f t="shared" si="20"/>
        <v>#DIV/0!</v>
      </c>
      <c r="AF188" s="6" t="e">
        <f>IF(SUM(AE189:$AE$245)-SUM(AJ189:$AK$245,AN189:$AN$245)&gt;$E$42,0,IF(SUM($AF$125:AF187)=0,$E$42-(SUM(AE189:$AE$245)-SUM(AJ189:$AK$245,AN189:$AN$245)),AE188-SUM(AJ188:AK188,AN188)))</f>
        <v>#DIV/0!</v>
      </c>
      <c r="AG188" s="89" t="e">
        <f t="shared" si="21"/>
        <v>#DIV/0!</v>
      </c>
      <c r="AH188" s="6" t="e">
        <f t="shared" si="43"/>
        <v>#DIV/0!</v>
      </c>
      <c r="AI188" s="6" t="e">
        <f t="shared" si="22"/>
        <v>#DIV/0!</v>
      </c>
      <c r="AJ188" s="6">
        <f t="shared" si="23"/>
        <v>0</v>
      </c>
      <c r="AK188" s="90">
        <f t="shared" si="24"/>
        <v>0</v>
      </c>
      <c r="AL188" s="6" t="e">
        <f t="shared" si="25"/>
        <v>#DIV/0!</v>
      </c>
      <c r="AM188" s="6" t="e">
        <f t="shared" si="44"/>
        <v>#NUM!</v>
      </c>
      <c r="AN188" s="6">
        <f t="shared" si="26"/>
        <v>0</v>
      </c>
      <c r="AO188" s="6" t="e">
        <f t="shared" si="27"/>
        <v>#DIV/0!</v>
      </c>
      <c r="AP188" s="15">
        <f>IFERROR(XIRR($AO$125:AO188,$D$125:D188),-100%)</f>
        <v>-1</v>
      </c>
      <c r="AQ188" s="129" t="e">
        <f t="shared" si="28"/>
        <v>#NUM!</v>
      </c>
      <c r="AR188" s="300">
        <v>0</v>
      </c>
      <c r="AS188" s="130" t="e">
        <f t="shared" si="53"/>
        <v>#DIV/0!</v>
      </c>
      <c r="AT188" s="10">
        <f>IFERROR(XIRR($AS$125:$AS188,$D$125:$D188),-100%)</f>
        <v>-1</v>
      </c>
      <c r="AU188" s="300">
        <v>0</v>
      </c>
      <c r="AV188" s="130" t="e">
        <f t="shared" si="54"/>
        <v>#DIV/0!</v>
      </c>
      <c r="AW188" s="131">
        <f>IFERROR(XIRR($AV$125:$AV188,$D$125:$D188),-100%)</f>
        <v>-1</v>
      </c>
      <c r="AX188" s="213">
        <f t="shared" si="45"/>
        <v>0</v>
      </c>
      <c r="AY188" s="200" t="e">
        <f t="shared" si="55"/>
        <v>#DIV/0!</v>
      </c>
      <c r="AZ188" s="159">
        <f t="shared" si="56"/>
        <v>0</v>
      </c>
      <c r="BA188" s="148" t="e">
        <f t="shared" si="46"/>
        <v>#NUM!</v>
      </c>
      <c r="BB188" s="6" t="e">
        <f t="shared" si="57"/>
        <v>#NUM!</v>
      </c>
      <c r="BC188" s="6" t="e">
        <f t="shared" si="58"/>
        <v>#NUM!</v>
      </c>
      <c r="BD188" s="149" t="e">
        <f t="shared" si="35"/>
        <v>#NUM!</v>
      </c>
      <c r="BE188" s="148" t="e">
        <f t="shared" si="47"/>
        <v>#NUM!</v>
      </c>
      <c r="BF188" s="6" t="e">
        <f t="shared" si="59"/>
        <v>#NUM!</v>
      </c>
      <c r="BG188" s="6" t="e">
        <f t="shared" si="60"/>
        <v>#DIV/0!</v>
      </c>
      <c r="BH188" s="6" t="e">
        <f t="shared" si="48"/>
        <v>#NUM!</v>
      </c>
      <c r="BI188" s="138" t="e">
        <f t="shared" si="61"/>
        <v>#DIV/0!</v>
      </c>
    </row>
    <row r="189" spans="1:61" x14ac:dyDescent="0.25">
      <c r="A189"/>
      <c r="B189" s="9">
        <f t="shared" si="50"/>
        <v>6</v>
      </c>
      <c r="C189" s="13">
        <v>64</v>
      </c>
      <c r="D189" s="12">
        <f t="shared" si="39"/>
        <v>1978</v>
      </c>
      <c r="E189" s="6">
        <f>INDEX(GC!$G$25:$G$144,MATCH($D189,GC!$C$25:$C$144,0))</f>
        <v>0</v>
      </c>
      <c r="F189" s="6">
        <f>INDEX(GC!$I$25:$I$144,MATCH($D189,GC!$C$25:$C$144,0))</f>
        <v>0</v>
      </c>
      <c r="G189" s="6">
        <f t="shared" si="40"/>
        <v>0</v>
      </c>
      <c r="H189" s="6">
        <f t="shared" si="2"/>
        <v>0</v>
      </c>
      <c r="I189" s="6">
        <f t="shared" si="51"/>
        <v>0</v>
      </c>
      <c r="J189" s="6">
        <f>IF(SUM($I$126:I189)&gt;$E$61, SUM($I$126:I189)-SUM($J$125:J188)-$E$61,0)</f>
        <v>0</v>
      </c>
      <c r="K189" s="6" t="e">
        <f t="shared" si="3"/>
        <v>#DIV/0!</v>
      </c>
      <c r="L189" s="6" t="e">
        <f t="shared" si="4"/>
        <v>#DIV/0!</v>
      </c>
      <c r="M189" s="6" t="e">
        <f t="shared" si="5"/>
        <v>#DIV/0!</v>
      </c>
      <c r="N189" s="6">
        <f t="shared" si="6"/>
        <v>0</v>
      </c>
      <c r="O189" s="6">
        <f t="shared" si="7"/>
        <v>0</v>
      </c>
      <c r="P189" s="6">
        <f t="shared" si="8"/>
        <v>0</v>
      </c>
      <c r="Q189" s="6">
        <f t="shared" si="9"/>
        <v>0</v>
      </c>
      <c r="R189" s="6" t="e">
        <f t="shared" si="41"/>
        <v>#DIV/0!</v>
      </c>
      <c r="S189" s="6" t="e">
        <f t="shared" si="10"/>
        <v>#DIV/0!</v>
      </c>
      <c r="T189" s="11" t="e">
        <f>SUM($R$126:R189)/($E$87)</f>
        <v>#DIV/0!</v>
      </c>
      <c r="U189" s="89" t="e">
        <f t="shared" si="11"/>
        <v>#DIV/0!</v>
      </c>
      <c r="V189" s="6" t="e">
        <f t="shared" si="12"/>
        <v>#DIV/0!</v>
      </c>
      <c r="W189" s="6" t="e">
        <f t="shared" si="42"/>
        <v>#DIV/0!</v>
      </c>
      <c r="X189" s="6" t="e">
        <f t="shared" si="13"/>
        <v>#DIV/0!</v>
      </c>
      <c r="Y189" s="6" t="e">
        <f t="shared" si="14"/>
        <v>#DIV/0!</v>
      </c>
      <c r="Z189" s="90" t="e">
        <f t="shared" si="15"/>
        <v>#DIV/0!</v>
      </c>
      <c r="AA189" s="89" t="e">
        <f t="shared" si="16"/>
        <v>#DIV/0!</v>
      </c>
      <c r="AB189" s="6" t="e">
        <f t="shared" si="17"/>
        <v>#DIV/0!</v>
      </c>
      <c r="AC189" s="6" t="e">
        <f t="shared" si="52"/>
        <v>#NUM!</v>
      </c>
      <c r="AD189" s="90" t="e">
        <f t="shared" si="19"/>
        <v>#NUM!</v>
      </c>
      <c r="AE189" s="6" t="e">
        <f t="shared" si="20"/>
        <v>#DIV/0!</v>
      </c>
      <c r="AF189" s="6" t="e">
        <f>IF(SUM(AE190:$AE$245)-SUM(AJ190:$AK$245,AN190:$AN$245)&gt;$E$42,0,IF(SUM($AF$125:AF188)=0,$E$42-(SUM(AE190:$AE$245)-SUM(AJ190:$AK$245,AN190:$AN$245)),AE189-SUM(AJ189:AK189,AN189)))</f>
        <v>#DIV/0!</v>
      </c>
      <c r="AG189" s="89" t="e">
        <f t="shared" si="21"/>
        <v>#DIV/0!</v>
      </c>
      <c r="AH189" s="6" t="e">
        <f t="shared" si="43"/>
        <v>#DIV/0!</v>
      </c>
      <c r="AI189" s="6" t="e">
        <f t="shared" si="22"/>
        <v>#DIV/0!</v>
      </c>
      <c r="AJ189" s="6">
        <f t="shared" si="23"/>
        <v>0</v>
      </c>
      <c r="AK189" s="90">
        <f t="shared" si="24"/>
        <v>0</v>
      </c>
      <c r="AL189" s="6" t="e">
        <f t="shared" si="25"/>
        <v>#DIV/0!</v>
      </c>
      <c r="AM189" s="6" t="e">
        <f t="shared" si="44"/>
        <v>#NUM!</v>
      </c>
      <c r="AN189" s="6">
        <f t="shared" si="26"/>
        <v>0</v>
      </c>
      <c r="AO189" s="6" t="e">
        <f t="shared" si="27"/>
        <v>#DIV/0!</v>
      </c>
      <c r="AP189" s="15">
        <f>IFERROR(XIRR($AO$125:AO189,$D$125:D189),-100%)</f>
        <v>-1</v>
      </c>
      <c r="AQ189" s="129" t="e">
        <f t="shared" si="28"/>
        <v>#NUM!</v>
      </c>
      <c r="AR189" s="300">
        <v>0</v>
      </c>
      <c r="AS189" s="130" t="e">
        <f t="shared" si="53"/>
        <v>#DIV/0!</v>
      </c>
      <c r="AT189" s="10">
        <f>IFERROR(XIRR($AS$125:$AS189,$D$125:$D189),-100%)</f>
        <v>-1</v>
      </c>
      <c r="AU189" s="300">
        <v>0</v>
      </c>
      <c r="AV189" s="130" t="e">
        <f t="shared" si="54"/>
        <v>#DIV/0!</v>
      </c>
      <c r="AW189" s="131">
        <f>IFERROR(XIRR($AV$125:$AV189,$D$125:$D189),-100%)</f>
        <v>-1</v>
      </c>
      <c r="AX189" s="213">
        <f t="shared" si="45"/>
        <v>0</v>
      </c>
      <c r="AY189" s="200" t="e">
        <f t="shared" si="55"/>
        <v>#DIV/0!</v>
      </c>
      <c r="AZ189" s="159">
        <f t="shared" si="56"/>
        <v>0</v>
      </c>
      <c r="BA189" s="148" t="e">
        <f t="shared" si="46"/>
        <v>#NUM!</v>
      </c>
      <c r="BB189" s="6" t="e">
        <f t="shared" si="57"/>
        <v>#NUM!</v>
      </c>
      <c r="BC189" s="6" t="e">
        <f t="shared" si="58"/>
        <v>#NUM!</v>
      </c>
      <c r="BD189" s="149" t="e">
        <f t="shared" si="35"/>
        <v>#NUM!</v>
      </c>
      <c r="BE189" s="148" t="e">
        <f t="shared" si="47"/>
        <v>#NUM!</v>
      </c>
      <c r="BF189" s="6" t="e">
        <f t="shared" si="59"/>
        <v>#NUM!</v>
      </c>
      <c r="BG189" s="6" t="e">
        <f t="shared" si="60"/>
        <v>#DIV/0!</v>
      </c>
      <c r="BH189" s="6" t="e">
        <f t="shared" si="48"/>
        <v>#NUM!</v>
      </c>
      <c r="BI189" s="138" t="e">
        <f t="shared" si="61"/>
        <v>#DIV/0!</v>
      </c>
    </row>
    <row r="190" spans="1:61" x14ac:dyDescent="0.25">
      <c r="A190"/>
      <c r="B190" s="9">
        <f t="shared" si="50"/>
        <v>6</v>
      </c>
      <c r="C190" s="13">
        <v>65</v>
      </c>
      <c r="D190" s="12">
        <f t="shared" si="39"/>
        <v>2008</v>
      </c>
      <c r="E190" s="6">
        <f>INDEX(GC!$G$25:$G$144,MATCH($D190,GC!$C$25:$C$144,0))</f>
        <v>0</v>
      </c>
      <c r="F190" s="6">
        <f>INDEX(GC!$I$25:$I$144,MATCH($D190,GC!$C$25:$C$144,0))</f>
        <v>0</v>
      </c>
      <c r="G190" s="6">
        <f t="shared" si="40"/>
        <v>0</v>
      </c>
      <c r="H190" s="6">
        <f t="shared" ref="H190:H244" si="62">SUM(E190:G190)</f>
        <v>0</v>
      </c>
      <c r="I190" s="6">
        <f t="shared" si="51"/>
        <v>0</v>
      </c>
      <c r="J190" s="6">
        <f>IF(SUM($I$126:I190)&gt;$E$61, SUM($I$126:I190)-SUM($J$125:J189)-$E$61,0)</f>
        <v>0</v>
      </c>
      <c r="K190" s="6" t="e">
        <f t="shared" ref="K190:K245" si="63">IF(T189&gt;$E$26,H190*$E$27,0)</f>
        <v>#DIV/0!</v>
      </c>
      <c r="L190" s="6" t="e">
        <f t="shared" ref="L190:L245" si="64">IF(T189&gt;$E$28,H190*$E$29,0)</f>
        <v>#DIV/0!</v>
      </c>
      <c r="M190" s="6" t="e">
        <f t="shared" ref="M190:M245" si="65">SUM(J190:L190)*$E$30*$E$31</f>
        <v>#DIV/0!</v>
      </c>
      <c r="N190" s="6">
        <f t="shared" ref="N190:N245" si="66">IF(C190&lt;=$E$34,$E$32,0)</f>
        <v>0</v>
      </c>
      <c r="O190" s="6">
        <f t="shared" ref="O190:O245" si="67">IF(C190&lt;=$E$34,$E$33,0)</f>
        <v>0</v>
      </c>
      <c r="P190" s="6">
        <f t="shared" ref="P190:P245" si="68">O190*$E$35</f>
        <v>0</v>
      </c>
      <c r="Q190" s="6">
        <f t="shared" ref="Q190:Q245" si="69">H190*$E$36</f>
        <v>0</v>
      </c>
      <c r="R190" s="6" t="e">
        <f t="shared" si="41"/>
        <v>#DIV/0!</v>
      </c>
      <c r="S190" s="6" t="e">
        <f t="shared" ref="S190:S244" si="70">S189+R190</f>
        <v>#DIV/0!</v>
      </c>
      <c r="T190" s="11" t="e">
        <f>SUM($R$126:R190)/($E$87)</f>
        <v>#DIV/0!</v>
      </c>
      <c r="U190" s="89" t="e">
        <f t="shared" ref="U190:U245" si="71">Y189*((1+$E$38)^(D190-D189)-1)</f>
        <v>#DIV/0!</v>
      </c>
      <c r="V190" s="6" t="e">
        <f t="shared" ref="V190:V245" si="72">MAX(MIN(R190,U190+W189),0)</f>
        <v>#DIV/0!</v>
      </c>
      <c r="W190" s="6" t="e">
        <f t="shared" si="42"/>
        <v>#DIV/0!</v>
      </c>
      <c r="X190" s="6" t="e">
        <f t="shared" ref="X190:X245" si="73">MIN(R190-V190,Y189)</f>
        <v>#DIV/0!</v>
      </c>
      <c r="Y190" s="6" t="e">
        <f t="shared" ref="Y190:Y244" si="74">Y189-X190</f>
        <v>#DIV/0!</v>
      </c>
      <c r="Z190" s="90" t="e">
        <f t="shared" ref="Z190:Z245" si="75">V190*$E$39</f>
        <v>#DIV/0!</v>
      </c>
      <c r="AA190" s="89" t="e">
        <f t="shared" ref="AA190:AA245" si="76">R190-V190-X190</f>
        <v>#DIV/0!</v>
      </c>
      <c r="AB190" s="6" t="e">
        <f t="shared" ref="AB190:AB245" si="77">$E$40*AA190</f>
        <v>#DIV/0!</v>
      </c>
      <c r="AC190" s="6" t="e">
        <f t="shared" ref="AC190:AC221" si="78">BB190-SUM(J190:P190)-U190</f>
        <v>#NUM!</v>
      </c>
      <c r="AD190" s="90" t="e">
        <f t="shared" ref="AD190:AD245" si="79">AC190*$E$41</f>
        <v>#NUM!</v>
      </c>
      <c r="AE190" s="6" t="e">
        <f t="shared" ref="AE190:AE245" si="80">R190-Z190-AB190-AD190</f>
        <v>#DIV/0!</v>
      </c>
      <c r="AF190" s="6" t="e">
        <f>IF(SUM(AE191:$AE$245)-SUM(AJ191:$AK$245,AN191:$AN$245)&gt;$E$42,0,IF(SUM($AF$125:AF189)=0,$E$42-(SUM(AE191:$AE$245)-SUM(AJ191:$AK$245,AN191:$AN$245)),AE190-SUM(AJ190:AK190,AN190)))</f>
        <v>#DIV/0!</v>
      </c>
      <c r="AG190" s="89" t="e">
        <f t="shared" ref="AG190:AG245" si="81">AE190-AF190</f>
        <v>#DIV/0!</v>
      </c>
      <c r="AH190" s="6" t="e">
        <f t="shared" si="43"/>
        <v>#DIV/0!</v>
      </c>
      <c r="AI190" s="6" t="e">
        <f t="shared" ref="AI190:AI245" si="82">AH190*$E$44</f>
        <v>#DIV/0!</v>
      </c>
      <c r="AJ190" s="6">
        <f t="shared" ref="AJ190:AJ245" si="83">IF(C190&lt;=$E$47,$E$45,0)</f>
        <v>0</v>
      </c>
      <c r="AK190" s="90">
        <f t="shared" ref="AK190:AK245" si="84">IF(C190&lt;=$E$47,$E$46,0)</f>
        <v>0</v>
      </c>
      <c r="AL190" s="6" t="e">
        <f t="shared" ref="AL190:AL245" si="85">AG190-AH190-AJ190-AK190</f>
        <v>#DIV/0!</v>
      </c>
      <c r="AM190" s="6" t="e">
        <f t="shared" si="44"/>
        <v>#NUM!</v>
      </c>
      <c r="AN190" s="6">
        <f t="shared" ref="AN190:AN245" si="86">IF(C190&lt;=$E$50,$E$49,0)</f>
        <v>0</v>
      </c>
      <c r="AO190" s="6" t="e">
        <f t="shared" ref="AO190:AO245" si="87">AL190-AM190-AN190</f>
        <v>#DIV/0!</v>
      </c>
      <c r="AP190" s="15">
        <f>IFERROR(XIRR($AO$125:AO190,$D$125:D190),-100%)</f>
        <v>-1</v>
      </c>
      <c r="AQ190" s="129" t="e">
        <f t="shared" ref="AQ190:AQ245" si="88">AQ189+AO190</f>
        <v>#NUM!</v>
      </c>
      <c r="AR190" s="300">
        <v>0</v>
      </c>
      <c r="AS190" s="130" t="e">
        <f t="shared" ref="AS190:AS221" si="89">AO190-AR190</f>
        <v>#DIV/0!</v>
      </c>
      <c r="AT190" s="10">
        <f>IFERROR(XIRR($AS$125:$AS190,$D$125:$D190),-100%)</f>
        <v>-1</v>
      </c>
      <c r="AU190" s="300">
        <v>0</v>
      </c>
      <c r="AV190" s="130" t="e">
        <f t="shared" ref="AV190:AV221" si="90">AS190-AU190</f>
        <v>#DIV/0!</v>
      </c>
      <c r="AW190" s="131">
        <f>IFERROR(XIRR($AV$125:$AV190,$D$125:$D190),-100%)</f>
        <v>-1</v>
      </c>
      <c r="AX190" s="213">
        <f t="shared" si="45"/>
        <v>0</v>
      </c>
      <c r="AY190" s="200" t="e">
        <f t="shared" ref="AY190:AY221" si="91">IF(AO190=0,0,AR190/AO190)</f>
        <v>#DIV/0!</v>
      </c>
      <c r="AZ190" s="159">
        <f t="shared" ref="AZ190:AZ221" si="92">H190</f>
        <v>0</v>
      </c>
      <c r="BA190" s="148" t="e">
        <f t="shared" si="46"/>
        <v>#NUM!</v>
      </c>
      <c r="BB190" s="6" t="e">
        <f t="shared" ref="BB190:BB221" si="93">BA190*((1+$N$7)^(D190-D189)-1)</f>
        <v>#NUM!</v>
      </c>
      <c r="BC190" s="6" t="e">
        <f t="shared" ref="BC190:BC221" si="94">H190-BB190</f>
        <v>#NUM!</v>
      </c>
      <c r="BD190" s="149" t="e">
        <f t="shared" ref="BD190:BD244" si="95">BA190-BC190</f>
        <v>#NUM!</v>
      </c>
      <c r="BE190" s="148" t="e">
        <f t="shared" si="47"/>
        <v>#NUM!</v>
      </c>
      <c r="BF190" s="6" t="e">
        <f t="shared" ref="BF190:BF221" si="96">BE190*((1+$Q$7)^(D190-D189)-1)</f>
        <v>#NUM!</v>
      </c>
      <c r="BG190" s="6" t="e">
        <f t="shared" ref="BG190:BG221" si="97">AL190-BF190</f>
        <v>#DIV/0!</v>
      </c>
      <c r="BH190" s="6" t="e">
        <f t="shared" si="48"/>
        <v>#NUM!</v>
      </c>
      <c r="BI190" s="138" t="e">
        <f t="shared" ref="BI190:BI221" si="98">IF(T189&gt;$E$28,2,IF(T189&gt;$E$26,1,0))</f>
        <v>#DIV/0!</v>
      </c>
    </row>
    <row r="191" spans="1:61" x14ac:dyDescent="0.25">
      <c r="A191"/>
      <c r="B191" s="9">
        <f t="shared" si="50"/>
        <v>6</v>
      </c>
      <c r="C191" s="13">
        <v>66</v>
      </c>
      <c r="D191" s="12">
        <f t="shared" ref="D191:D245" si="99">EOMONTH(D190,1)</f>
        <v>2039</v>
      </c>
      <c r="E191" s="6">
        <f>INDEX(GC!$G$25:$G$144,MATCH($D191,GC!$C$25:$C$144,0))</f>
        <v>0</v>
      </c>
      <c r="F191" s="6">
        <f>INDEX(GC!$I$25:$I$144,MATCH($D191,GC!$C$25:$C$144,0))</f>
        <v>0</v>
      </c>
      <c r="G191" s="6">
        <f t="shared" ref="G191:G245" si="100">-E191*$E$24</f>
        <v>0</v>
      </c>
      <c r="H191" s="6">
        <f t="shared" si="62"/>
        <v>0</v>
      </c>
      <c r="I191" s="6">
        <f t="shared" si="51"/>
        <v>0</v>
      </c>
      <c r="J191" s="6">
        <f>IF(SUM($I$126:I191)&gt;$E$61, SUM($I$126:I191)-SUM($J$125:J190)-$E$61,0)</f>
        <v>0</v>
      </c>
      <c r="K191" s="6" t="e">
        <f t="shared" si="63"/>
        <v>#DIV/0!</v>
      </c>
      <c r="L191" s="6" t="e">
        <f t="shared" si="64"/>
        <v>#DIV/0!</v>
      </c>
      <c r="M191" s="6" t="e">
        <f t="shared" si="65"/>
        <v>#DIV/0!</v>
      </c>
      <c r="N191" s="6">
        <f t="shared" si="66"/>
        <v>0</v>
      </c>
      <c r="O191" s="6">
        <f t="shared" si="67"/>
        <v>0</v>
      </c>
      <c r="P191" s="6">
        <f t="shared" si="68"/>
        <v>0</v>
      </c>
      <c r="Q191" s="6">
        <f t="shared" si="69"/>
        <v>0</v>
      </c>
      <c r="R191" s="6" t="e">
        <f t="shared" ref="R191:R245" si="101">H191-SUM(J191:Q191)</f>
        <v>#DIV/0!</v>
      </c>
      <c r="S191" s="6" t="e">
        <f t="shared" si="70"/>
        <v>#DIV/0!</v>
      </c>
      <c r="T191" s="11" t="e">
        <f>SUM($R$126:R191)/($E$87)</f>
        <v>#DIV/0!</v>
      </c>
      <c r="U191" s="89" t="e">
        <f t="shared" si="71"/>
        <v>#DIV/0!</v>
      </c>
      <c r="V191" s="6" t="e">
        <f t="shared" si="72"/>
        <v>#DIV/0!</v>
      </c>
      <c r="W191" s="6" t="e">
        <f t="shared" ref="W191:W244" si="102">W190+U191-V191</f>
        <v>#DIV/0!</v>
      </c>
      <c r="X191" s="6" t="e">
        <f t="shared" si="73"/>
        <v>#DIV/0!</v>
      </c>
      <c r="Y191" s="6" t="e">
        <f t="shared" si="74"/>
        <v>#DIV/0!</v>
      </c>
      <c r="Z191" s="90" t="e">
        <f t="shared" si="75"/>
        <v>#DIV/0!</v>
      </c>
      <c r="AA191" s="89" t="e">
        <f t="shared" si="76"/>
        <v>#DIV/0!</v>
      </c>
      <c r="AB191" s="6" t="e">
        <f t="shared" si="77"/>
        <v>#DIV/0!</v>
      </c>
      <c r="AC191" s="6" t="e">
        <f t="shared" si="78"/>
        <v>#NUM!</v>
      </c>
      <c r="AD191" s="90" t="e">
        <f t="shared" si="79"/>
        <v>#NUM!</v>
      </c>
      <c r="AE191" s="6" t="e">
        <f t="shared" si="80"/>
        <v>#DIV/0!</v>
      </c>
      <c r="AF191" s="6" t="e">
        <f>IF(SUM(AE192:$AE$245)-SUM(AJ192:$AK$245,AN192:$AN$245)&gt;$E$42,0,IF(SUM($AF$125:AF190)=0,$E$42-(SUM(AE192:$AE$245)-SUM(AJ192:$AK$245,AN192:$AN$245)),AE191-SUM(AJ191:AK191,AN191)))</f>
        <v>#DIV/0!</v>
      </c>
      <c r="AG191" s="89" t="e">
        <f t="shared" si="81"/>
        <v>#DIV/0!</v>
      </c>
      <c r="AH191" s="6" t="e">
        <f t="shared" ref="AH191:AH245" si="103">MAX(0,AG191*$E$43)</f>
        <v>#DIV/0!</v>
      </c>
      <c r="AI191" s="6" t="e">
        <f t="shared" si="82"/>
        <v>#DIV/0!</v>
      </c>
      <c r="AJ191" s="6">
        <f t="shared" si="83"/>
        <v>0</v>
      </c>
      <c r="AK191" s="90">
        <f t="shared" si="84"/>
        <v>0</v>
      </c>
      <c r="AL191" s="6" t="e">
        <f t="shared" si="85"/>
        <v>#DIV/0!</v>
      </c>
      <c r="AM191" s="6" t="e">
        <f t="shared" ref="AM191:AM245" si="104">MAX(0,BE191*$E$48)</f>
        <v>#NUM!</v>
      </c>
      <c r="AN191" s="6">
        <f t="shared" si="86"/>
        <v>0</v>
      </c>
      <c r="AO191" s="6" t="e">
        <f t="shared" si="87"/>
        <v>#DIV/0!</v>
      </c>
      <c r="AP191" s="15">
        <f>IFERROR(XIRR($AO$125:AO191,$D$125:D191),-100%)</f>
        <v>-1</v>
      </c>
      <c r="AQ191" s="129" t="e">
        <f t="shared" si="88"/>
        <v>#NUM!</v>
      </c>
      <c r="AR191" s="300">
        <v>0</v>
      </c>
      <c r="AS191" s="130" t="e">
        <f t="shared" si="89"/>
        <v>#DIV/0!</v>
      </c>
      <c r="AT191" s="10">
        <f>IFERROR(XIRR($AS$125:$AS191,$D$125:$D191),-100%)</f>
        <v>-1</v>
      </c>
      <c r="AU191" s="300">
        <v>0</v>
      </c>
      <c r="AV191" s="130" t="e">
        <f t="shared" si="90"/>
        <v>#DIV/0!</v>
      </c>
      <c r="AW191" s="131">
        <f>IFERROR(XIRR($AV$125:$AV191,$D$125:$D191),-100%)</f>
        <v>-1</v>
      </c>
      <c r="AX191" s="213">
        <f t="shared" ref="AX191:AX245" si="105">IF(AW191&gt;0,1,0)</f>
        <v>0</v>
      </c>
      <c r="AY191" s="200" t="e">
        <f t="shared" si="91"/>
        <v>#DIV/0!</v>
      </c>
      <c r="AZ191" s="159">
        <f t="shared" si="92"/>
        <v>0</v>
      </c>
      <c r="BA191" s="148" t="e">
        <f t="shared" ref="BA191:BA245" si="106">IF(ABS(BD190)&lt;1,0,BD190)</f>
        <v>#NUM!</v>
      </c>
      <c r="BB191" s="6" t="e">
        <f t="shared" si="93"/>
        <v>#NUM!</v>
      </c>
      <c r="BC191" s="6" t="e">
        <f t="shared" si="94"/>
        <v>#NUM!</v>
      </c>
      <c r="BD191" s="149" t="e">
        <f t="shared" si="95"/>
        <v>#NUM!</v>
      </c>
      <c r="BE191" s="148" t="e">
        <f t="shared" ref="BE191:BE245" si="107">IF(ABS(BH190)&lt;1,0,BH190)</f>
        <v>#NUM!</v>
      </c>
      <c r="BF191" s="6" t="e">
        <f t="shared" si="96"/>
        <v>#NUM!</v>
      </c>
      <c r="BG191" s="6" t="e">
        <f t="shared" si="97"/>
        <v>#DIV/0!</v>
      </c>
      <c r="BH191" s="6" t="e">
        <f t="shared" ref="BH191:BH245" si="108">BE191-BG191</f>
        <v>#NUM!</v>
      </c>
      <c r="BI191" s="138" t="e">
        <f t="shared" si="98"/>
        <v>#DIV/0!</v>
      </c>
    </row>
    <row r="192" spans="1:61" x14ac:dyDescent="0.25">
      <c r="A192"/>
      <c r="B192" s="9">
        <f t="shared" si="50"/>
        <v>6</v>
      </c>
      <c r="C192" s="13">
        <v>67</v>
      </c>
      <c r="D192" s="12">
        <f t="shared" si="99"/>
        <v>2070</v>
      </c>
      <c r="E192" s="6">
        <f>INDEX(GC!$G$25:$G$144,MATCH($D192,GC!$C$25:$C$144,0))</f>
        <v>0</v>
      </c>
      <c r="F192" s="6">
        <f>INDEX(GC!$I$25:$I$144,MATCH($D192,GC!$C$25:$C$144,0))</f>
        <v>0</v>
      </c>
      <c r="G192" s="6">
        <f t="shared" si="100"/>
        <v>0</v>
      </c>
      <c r="H192" s="6">
        <f t="shared" si="62"/>
        <v>0</v>
      </c>
      <c r="I192" s="6">
        <f t="shared" si="51"/>
        <v>0</v>
      </c>
      <c r="J192" s="6">
        <f>IF(SUM($I$126:I192)&gt;$E$61, SUM($I$126:I192)-SUM($J$125:J191)-$E$61,0)</f>
        <v>0</v>
      </c>
      <c r="K192" s="6" t="e">
        <f t="shared" si="63"/>
        <v>#DIV/0!</v>
      </c>
      <c r="L192" s="6" t="e">
        <f t="shared" si="64"/>
        <v>#DIV/0!</v>
      </c>
      <c r="M192" s="6" t="e">
        <f t="shared" si="65"/>
        <v>#DIV/0!</v>
      </c>
      <c r="N192" s="6">
        <f t="shared" si="66"/>
        <v>0</v>
      </c>
      <c r="O192" s="6">
        <f t="shared" si="67"/>
        <v>0</v>
      </c>
      <c r="P192" s="6">
        <f t="shared" si="68"/>
        <v>0</v>
      </c>
      <c r="Q192" s="6">
        <f t="shared" si="69"/>
        <v>0</v>
      </c>
      <c r="R192" s="6" t="e">
        <f t="shared" si="101"/>
        <v>#DIV/0!</v>
      </c>
      <c r="S192" s="6" t="e">
        <f t="shared" si="70"/>
        <v>#DIV/0!</v>
      </c>
      <c r="T192" s="11" t="e">
        <f>SUM($R$126:R192)/($E$87)</f>
        <v>#DIV/0!</v>
      </c>
      <c r="U192" s="89" t="e">
        <f t="shared" si="71"/>
        <v>#DIV/0!</v>
      </c>
      <c r="V192" s="6" t="e">
        <f t="shared" si="72"/>
        <v>#DIV/0!</v>
      </c>
      <c r="W192" s="6" t="e">
        <f t="shared" si="102"/>
        <v>#DIV/0!</v>
      </c>
      <c r="X192" s="6" t="e">
        <f t="shared" si="73"/>
        <v>#DIV/0!</v>
      </c>
      <c r="Y192" s="6" t="e">
        <f t="shared" si="74"/>
        <v>#DIV/0!</v>
      </c>
      <c r="Z192" s="90" t="e">
        <f t="shared" si="75"/>
        <v>#DIV/0!</v>
      </c>
      <c r="AA192" s="89" t="e">
        <f t="shared" si="76"/>
        <v>#DIV/0!</v>
      </c>
      <c r="AB192" s="6" t="e">
        <f t="shared" si="77"/>
        <v>#DIV/0!</v>
      </c>
      <c r="AC192" s="6" t="e">
        <f t="shared" si="78"/>
        <v>#NUM!</v>
      </c>
      <c r="AD192" s="90" t="e">
        <f t="shared" si="79"/>
        <v>#NUM!</v>
      </c>
      <c r="AE192" s="6" t="e">
        <f t="shared" si="80"/>
        <v>#DIV/0!</v>
      </c>
      <c r="AF192" s="6" t="e">
        <f>IF(SUM(AE193:$AE$245)-SUM(AJ193:$AK$245,AN193:$AN$245)&gt;$E$42,0,IF(SUM($AF$125:AF191)=0,$E$42-(SUM(AE193:$AE$245)-SUM(AJ193:$AK$245,AN193:$AN$245)),AE192-SUM(AJ192:AK192,AN192)))</f>
        <v>#DIV/0!</v>
      </c>
      <c r="AG192" s="89" t="e">
        <f t="shared" si="81"/>
        <v>#DIV/0!</v>
      </c>
      <c r="AH192" s="6" t="e">
        <f t="shared" si="103"/>
        <v>#DIV/0!</v>
      </c>
      <c r="AI192" s="6" t="e">
        <f t="shared" si="82"/>
        <v>#DIV/0!</v>
      </c>
      <c r="AJ192" s="6">
        <f t="shared" si="83"/>
        <v>0</v>
      </c>
      <c r="AK192" s="90">
        <f t="shared" si="84"/>
        <v>0</v>
      </c>
      <c r="AL192" s="6" t="e">
        <f t="shared" si="85"/>
        <v>#DIV/0!</v>
      </c>
      <c r="AM192" s="6" t="e">
        <f t="shared" si="104"/>
        <v>#NUM!</v>
      </c>
      <c r="AN192" s="6">
        <f t="shared" si="86"/>
        <v>0</v>
      </c>
      <c r="AO192" s="6" t="e">
        <f t="shared" si="87"/>
        <v>#DIV/0!</v>
      </c>
      <c r="AP192" s="15">
        <f>IFERROR(XIRR($AO$125:AO192,$D$125:D192),-100%)</f>
        <v>-1</v>
      </c>
      <c r="AQ192" s="129" t="e">
        <f t="shared" si="88"/>
        <v>#NUM!</v>
      </c>
      <c r="AR192" s="300">
        <v>0</v>
      </c>
      <c r="AS192" s="130" t="e">
        <f t="shared" si="89"/>
        <v>#DIV/0!</v>
      </c>
      <c r="AT192" s="10">
        <f>IFERROR(XIRR($AS$125:$AS192,$D$125:$D192),-100%)</f>
        <v>-1</v>
      </c>
      <c r="AU192" s="300">
        <v>0</v>
      </c>
      <c r="AV192" s="130" t="e">
        <f t="shared" si="90"/>
        <v>#DIV/0!</v>
      </c>
      <c r="AW192" s="131">
        <f>IFERROR(XIRR($AV$125:$AV192,$D$125:$D192),-100%)</f>
        <v>-1</v>
      </c>
      <c r="AX192" s="213">
        <f t="shared" si="105"/>
        <v>0</v>
      </c>
      <c r="AY192" s="200" t="e">
        <f t="shared" si="91"/>
        <v>#DIV/0!</v>
      </c>
      <c r="AZ192" s="159">
        <f t="shared" si="92"/>
        <v>0</v>
      </c>
      <c r="BA192" s="148" t="e">
        <f t="shared" si="106"/>
        <v>#NUM!</v>
      </c>
      <c r="BB192" s="6" t="e">
        <f t="shared" si="93"/>
        <v>#NUM!</v>
      </c>
      <c r="BC192" s="6" t="e">
        <f t="shared" si="94"/>
        <v>#NUM!</v>
      </c>
      <c r="BD192" s="149" t="e">
        <f t="shared" si="95"/>
        <v>#NUM!</v>
      </c>
      <c r="BE192" s="148" t="e">
        <f t="shared" si="107"/>
        <v>#NUM!</v>
      </c>
      <c r="BF192" s="6" t="e">
        <f t="shared" si="96"/>
        <v>#NUM!</v>
      </c>
      <c r="BG192" s="6" t="e">
        <f t="shared" si="97"/>
        <v>#DIV/0!</v>
      </c>
      <c r="BH192" s="6" t="e">
        <f t="shared" si="108"/>
        <v>#NUM!</v>
      </c>
      <c r="BI192" s="138" t="e">
        <f t="shared" si="98"/>
        <v>#DIV/0!</v>
      </c>
    </row>
    <row r="193" spans="1:61" x14ac:dyDescent="0.25">
      <c r="A193"/>
      <c r="B193" s="9">
        <f t="shared" si="50"/>
        <v>6</v>
      </c>
      <c r="C193" s="13">
        <v>68</v>
      </c>
      <c r="D193" s="12">
        <f t="shared" si="99"/>
        <v>2100</v>
      </c>
      <c r="E193" s="6">
        <f>INDEX(GC!$G$25:$G$144,MATCH($D193,GC!$C$25:$C$144,0))</f>
        <v>0</v>
      </c>
      <c r="F193" s="6">
        <f>INDEX(GC!$I$25:$I$144,MATCH($D193,GC!$C$25:$C$144,0))</f>
        <v>0</v>
      </c>
      <c r="G193" s="6">
        <f t="shared" si="100"/>
        <v>0</v>
      </c>
      <c r="H193" s="6">
        <f t="shared" si="62"/>
        <v>0</v>
      </c>
      <c r="I193" s="6">
        <f t="shared" si="51"/>
        <v>0</v>
      </c>
      <c r="J193" s="6">
        <f>IF(SUM($I$126:I193)&gt;$E$61, SUM($I$126:I193)-SUM($J$125:J192)-$E$61,0)</f>
        <v>0</v>
      </c>
      <c r="K193" s="6" t="e">
        <f t="shared" si="63"/>
        <v>#DIV/0!</v>
      </c>
      <c r="L193" s="6" t="e">
        <f t="shared" si="64"/>
        <v>#DIV/0!</v>
      </c>
      <c r="M193" s="6" t="e">
        <f t="shared" si="65"/>
        <v>#DIV/0!</v>
      </c>
      <c r="N193" s="6">
        <f t="shared" si="66"/>
        <v>0</v>
      </c>
      <c r="O193" s="6">
        <f t="shared" si="67"/>
        <v>0</v>
      </c>
      <c r="P193" s="6">
        <f t="shared" si="68"/>
        <v>0</v>
      </c>
      <c r="Q193" s="6">
        <f t="shared" si="69"/>
        <v>0</v>
      </c>
      <c r="R193" s="6" t="e">
        <f t="shared" si="101"/>
        <v>#DIV/0!</v>
      </c>
      <c r="S193" s="6" t="e">
        <f t="shared" si="70"/>
        <v>#DIV/0!</v>
      </c>
      <c r="T193" s="11" t="e">
        <f>SUM($R$126:R193)/($E$87)</f>
        <v>#DIV/0!</v>
      </c>
      <c r="U193" s="89" t="e">
        <f t="shared" si="71"/>
        <v>#DIV/0!</v>
      </c>
      <c r="V193" s="6" t="e">
        <f t="shared" si="72"/>
        <v>#DIV/0!</v>
      </c>
      <c r="W193" s="6" t="e">
        <f t="shared" si="102"/>
        <v>#DIV/0!</v>
      </c>
      <c r="X193" s="6" t="e">
        <f t="shared" si="73"/>
        <v>#DIV/0!</v>
      </c>
      <c r="Y193" s="6" t="e">
        <f t="shared" si="74"/>
        <v>#DIV/0!</v>
      </c>
      <c r="Z193" s="90" t="e">
        <f t="shared" si="75"/>
        <v>#DIV/0!</v>
      </c>
      <c r="AA193" s="89" t="e">
        <f t="shared" si="76"/>
        <v>#DIV/0!</v>
      </c>
      <c r="AB193" s="6" t="e">
        <f t="shared" si="77"/>
        <v>#DIV/0!</v>
      </c>
      <c r="AC193" s="6" t="e">
        <f t="shared" si="78"/>
        <v>#NUM!</v>
      </c>
      <c r="AD193" s="90" t="e">
        <f t="shared" si="79"/>
        <v>#NUM!</v>
      </c>
      <c r="AE193" s="6" t="e">
        <f t="shared" si="80"/>
        <v>#DIV/0!</v>
      </c>
      <c r="AF193" s="6" t="e">
        <f>IF(SUM(AE194:$AE$245)-SUM(AJ194:$AK$245,AN194:$AN$245)&gt;$E$42,0,IF(SUM($AF$125:AF192)=0,$E$42-(SUM(AE194:$AE$245)-SUM(AJ194:$AK$245,AN194:$AN$245)),AE193-SUM(AJ193:AK193,AN193)))</f>
        <v>#DIV/0!</v>
      </c>
      <c r="AG193" s="89" t="e">
        <f t="shared" si="81"/>
        <v>#DIV/0!</v>
      </c>
      <c r="AH193" s="6" t="e">
        <f t="shared" si="103"/>
        <v>#DIV/0!</v>
      </c>
      <c r="AI193" s="6" t="e">
        <f t="shared" si="82"/>
        <v>#DIV/0!</v>
      </c>
      <c r="AJ193" s="6">
        <f t="shared" si="83"/>
        <v>0</v>
      </c>
      <c r="AK193" s="90">
        <f t="shared" si="84"/>
        <v>0</v>
      </c>
      <c r="AL193" s="6" t="e">
        <f t="shared" si="85"/>
        <v>#DIV/0!</v>
      </c>
      <c r="AM193" s="6" t="e">
        <f t="shared" si="104"/>
        <v>#NUM!</v>
      </c>
      <c r="AN193" s="6">
        <f t="shared" si="86"/>
        <v>0</v>
      </c>
      <c r="AO193" s="6" t="e">
        <f t="shared" si="87"/>
        <v>#DIV/0!</v>
      </c>
      <c r="AP193" s="15">
        <f>IFERROR(XIRR($AO$125:AO193,$D$125:D193),-100%)</f>
        <v>-1</v>
      </c>
      <c r="AQ193" s="129" t="e">
        <f t="shared" si="88"/>
        <v>#NUM!</v>
      </c>
      <c r="AR193" s="300">
        <v>0</v>
      </c>
      <c r="AS193" s="130" t="e">
        <f t="shared" si="89"/>
        <v>#DIV/0!</v>
      </c>
      <c r="AT193" s="10">
        <f>IFERROR(XIRR($AS$125:$AS193,$D$125:$D193),-100%)</f>
        <v>-1</v>
      </c>
      <c r="AU193" s="300">
        <v>0</v>
      </c>
      <c r="AV193" s="130" t="e">
        <f t="shared" si="90"/>
        <v>#DIV/0!</v>
      </c>
      <c r="AW193" s="131">
        <f>IFERROR(XIRR($AV$125:$AV193,$D$125:$D193),-100%)</f>
        <v>-1</v>
      </c>
      <c r="AX193" s="213">
        <f t="shared" si="105"/>
        <v>0</v>
      </c>
      <c r="AY193" s="200" t="e">
        <f t="shared" si="91"/>
        <v>#DIV/0!</v>
      </c>
      <c r="AZ193" s="159">
        <f t="shared" si="92"/>
        <v>0</v>
      </c>
      <c r="BA193" s="148" t="e">
        <f t="shared" si="106"/>
        <v>#NUM!</v>
      </c>
      <c r="BB193" s="6" t="e">
        <f t="shared" si="93"/>
        <v>#NUM!</v>
      </c>
      <c r="BC193" s="6" t="e">
        <f t="shared" si="94"/>
        <v>#NUM!</v>
      </c>
      <c r="BD193" s="149" t="e">
        <f t="shared" si="95"/>
        <v>#NUM!</v>
      </c>
      <c r="BE193" s="148" t="e">
        <f t="shared" si="107"/>
        <v>#NUM!</v>
      </c>
      <c r="BF193" s="6" t="e">
        <f t="shared" si="96"/>
        <v>#NUM!</v>
      </c>
      <c r="BG193" s="6" t="e">
        <f t="shared" si="97"/>
        <v>#DIV/0!</v>
      </c>
      <c r="BH193" s="6" t="e">
        <f t="shared" si="108"/>
        <v>#NUM!</v>
      </c>
      <c r="BI193" s="138" t="e">
        <f t="shared" si="98"/>
        <v>#DIV/0!</v>
      </c>
    </row>
    <row r="194" spans="1:61" x14ac:dyDescent="0.25">
      <c r="A194"/>
      <c r="B194" s="9">
        <f t="shared" si="50"/>
        <v>6</v>
      </c>
      <c r="C194" s="13">
        <v>69</v>
      </c>
      <c r="D194" s="12">
        <f t="shared" si="99"/>
        <v>2131</v>
      </c>
      <c r="E194" s="6">
        <f>INDEX(GC!$G$25:$G$144,MATCH($D194,GC!$C$25:$C$144,0))</f>
        <v>0</v>
      </c>
      <c r="F194" s="6">
        <f>INDEX(GC!$I$25:$I$144,MATCH($D194,GC!$C$25:$C$144,0))</f>
        <v>0</v>
      </c>
      <c r="G194" s="6">
        <f t="shared" si="100"/>
        <v>0</v>
      </c>
      <c r="H194" s="6">
        <f t="shared" si="62"/>
        <v>0</v>
      </c>
      <c r="I194" s="6">
        <f t="shared" si="51"/>
        <v>0</v>
      </c>
      <c r="J194" s="6">
        <f>IF(SUM($I$126:I194)&gt;$E$61, SUM($I$126:I194)-SUM($J$125:J193)-$E$61,0)</f>
        <v>0</v>
      </c>
      <c r="K194" s="6" t="e">
        <f t="shared" si="63"/>
        <v>#DIV/0!</v>
      </c>
      <c r="L194" s="6" t="e">
        <f t="shared" si="64"/>
        <v>#DIV/0!</v>
      </c>
      <c r="M194" s="6" t="e">
        <f t="shared" si="65"/>
        <v>#DIV/0!</v>
      </c>
      <c r="N194" s="6">
        <f t="shared" si="66"/>
        <v>0</v>
      </c>
      <c r="O194" s="6">
        <f t="shared" si="67"/>
        <v>0</v>
      </c>
      <c r="P194" s="6">
        <f t="shared" si="68"/>
        <v>0</v>
      </c>
      <c r="Q194" s="6">
        <f t="shared" si="69"/>
        <v>0</v>
      </c>
      <c r="R194" s="6" t="e">
        <f t="shared" si="101"/>
        <v>#DIV/0!</v>
      </c>
      <c r="S194" s="6" t="e">
        <f t="shared" si="70"/>
        <v>#DIV/0!</v>
      </c>
      <c r="T194" s="11" t="e">
        <f>SUM($R$126:R194)/($E$87)</f>
        <v>#DIV/0!</v>
      </c>
      <c r="U194" s="89" t="e">
        <f t="shared" si="71"/>
        <v>#DIV/0!</v>
      </c>
      <c r="V194" s="6" t="e">
        <f t="shared" si="72"/>
        <v>#DIV/0!</v>
      </c>
      <c r="W194" s="6" t="e">
        <f t="shared" si="102"/>
        <v>#DIV/0!</v>
      </c>
      <c r="X194" s="6" t="e">
        <f t="shared" si="73"/>
        <v>#DIV/0!</v>
      </c>
      <c r="Y194" s="6" t="e">
        <f t="shared" si="74"/>
        <v>#DIV/0!</v>
      </c>
      <c r="Z194" s="90" t="e">
        <f t="shared" si="75"/>
        <v>#DIV/0!</v>
      </c>
      <c r="AA194" s="89" t="e">
        <f t="shared" si="76"/>
        <v>#DIV/0!</v>
      </c>
      <c r="AB194" s="6" t="e">
        <f t="shared" si="77"/>
        <v>#DIV/0!</v>
      </c>
      <c r="AC194" s="6" t="e">
        <f t="shared" si="78"/>
        <v>#NUM!</v>
      </c>
      <c r="AD194" s="90" t="e">
        <f t="shared" si="79"/>
        <v>#NUM!</v>
      </c>
      <c r="AE194" s="6" t="e">
        <f t="shared" si="80"/>
        <v>#DIV/0!</v>
      </c>
      <c r="AF194" s="6" t="e">
        <f>IF(SUM(AE195:$AE$245)-SUM(AJ195:$AK$245,AN195:$AN$245)&gt;$E$42,0,IF(SUM($AF$125:AF193)=0,$E$42-(SUM(AE195:$AE$245)-SUM(AJ195:$AK$245,AN195:$AN$245)),AE194-SUM(AJ194:AK194,AN194)))</f>
        <v>#DIV/0!</v>
      </c>
      <c r="AG194" s="89" t="e">
        <f t="shared" si="81"/>
        <v>#DIV/0!</v>
      </c>
      <c r="AH194" s="6" t="e">
        <f t="shared" si="103"/>
        <v>#DIV/0!</v>
      </c>
      <c r="AI194" s="6" t="e">
        <f t="shared" si="82"/>
        <v>#DIV/0!</v>
      </c>
      <c r="AJ194" s="6">
        <f t="shared" si="83"/>
        <v>0</v>
      </c>
      <c r="AK194" s="90">
        <f t="shared" si="84"/>
        <v>0</v>
      </c>
      <c r="AL194" s="6" t="e">
        <f t="shared" si="85"/>
        <v>#DIV/0!</v>
      </c>
      <c r="AM194" s="6" t="e">
        <f t="shared" si="104"/>
        <v>#NUM!</v>
      </c>
      <c r="AN194" s="6">
        <f t="shared" si="86"/>
        <v>0</v>
      </c>
      <c r="AO194" s="6" t="e">
        <f t="shared" si="87"/>
        <v>#DIV/0!</v>
      </c>
      <c r="AP194" s="15">
        <f>IFERROR(XIRR($AO$125:AO194,$D$125:D194),-100%)</f>
        <v>-1</v>
      </c>
      <c r="AQ194" s="129" t="e">
        <f t="shared" si="88"/>
        <v>#NUM!</v>
      </c>
      <c r="AR194" s="300">
        <v>0</v>
      </c>
      <c r="AS194" s="130" t="e">
        <f t="shared" si="89"/>
        <v>#DIV/0!</v>
      </c>
      <c r="AT194" s="10">
        <f>IFERROR(XIRR($AS$125:$AS194,$D$125:$D194),-100%)</f>
        <v>-1</v>
      </c>
      <c r="AU194" s="300">
        <v>0</v>
      </c>
      <c r="AV194" s="130" t="e">
        <f t="shared" si="90"/>
        <v>#DIV/0!</v>
      </c>
      <c r="AW194" s="131">
        <f>IFERROR(XIRR($AV$125:$AV194,$D$125:$D194),-100%)</f>
        <v>-1</v>
      </c>
      <c r="AX194" s="213">
        <f t="shared" si="105"/>
        <v>0</v>
      </c>
      <c r="AY194" s="200" t="e">
        <f t="shared" si="91"/>
        <v>#DIV/0!</v>
      </c>
      <c r="AZ194" s="159">
        <f t="shared" si="92"/>
        <v>0</v>
      </c>
      <c r="BA194" s="148" t="e">
        <f t="shared" si="106"/>
        <v>#NUM!</v>
      </c>
      <c r="BB194" s="6" t="e">
        <f t="shared" si="93"/>
        <v>#NUM!</v>
      </c>
      <c r="BC194" s="6" t="e">
        <f t="shared" si="94"/>
        <v>#NUM!</v>
      </c>
      <c r="BD194" s="149" t="e">
        <f t="shared" si="95"/>
        <v>#NUM!</v>
      </c>
      <c r="BE194" s="148" t="e">
        <f t="shared" si="107"/>
        <v>#NUM!</v>
      </c>
      <c r="BF194" s="6" t="e">
        <f t="shared" si="96"/>
        <v>#NUM!</v>
      </c>
      <c r="BG194" s="6" t="e">
        <f t="shared" si="97"/>
        <v>#DIV/0!</v>
      </c>
      <c r="BH194" s="6" t="e">
        <f t="shared" si="108"/>
        <v>#NUM!</v>
      </c>
      <c r="BI194" s="138" t="e">
        <f t="shared" si="98"/>
        <v>#DIV/0!</v>
      </c>
    </row>
    <row r="195" spans="1:61" x14ac:dyDescent="0.25">
      <c r="A195"/>
      <c r="B195" s="9">
        <f t="shared" si="50"/>
        <v>6</v>
      </c>
      <c r="C195" s="13">
        <v>70</v>
      </c>
      <c r="D195" s="12">
        <f t="shared" si="99"/>
        <v>2161</v>
      </c>
      <c r="E195" s="6">
        <f>INDEX(GC!$G$25:$G$144,MATCH($D195,GC!$C$25:$C$144,0))</f>
        <v>0</v>
      </c>
      <c r="F195" s="6">
        <f>INDEX(GC!$I$25:$I$144,MATCH($D195,GC!$C$25:$C$144,0))</f>
        <v>0</v>
      </c>
      <c r="G195" s="6">
        <f t="shared" si="100"/>
        <v>0</v>
      </c>
      <c r="H195" s="6">
        <f t="shared" si="62"/>
        <v>0</v>
      </c>
      <c r="I195" s="6">
        <f t="shared" si="51"/>
        <v>0</v>
      </c>
      <c r="J195" s="6">
        <f>IF(SUM($I$126:I195)&gt;$E$61, SUM($I$126:I195)-SUM($J$125:J194)-$E$61,0)</f>
        <v>0</v>
      </c>
      <c r="K195" s="6" t="e">
        <f t="shared" si="63"/>
        <v>#DIV/0!</v>
      </c>
      <c r="L195" s="6" t="e">
        <f t="shared" si="64"/>
        <v>#DIV/0!</v>
      </c>
      <c r="M195" s="6" t="e">
        <f t="shared" si="65"/>
        <v>#DIV/0!</v>
      </c>
      <c r="N195" s="6">
        <f t="shared" si="66"/>
        <v>0</v>
      </c>
      <c r="O195" s="6">
        <f t="shared" si="67"/>
        <v>0</v>
      </c>
      <c r="P195" s="6">
        <f t="shared" si="68"/>
        <v>0</v>
      </c>
      <c r="Q195" s="6">
        <f t="shared" si="69"/>
        <v>0</v>
      </c>
      <c r="R195" s="6" t="e">
        <f t="shared" si="101"/>
        <v>#DIV/0!</v>
      </c>
      <c r="S195" s="6" t="e">
        <f t="shared" si="70"/>
        <v>#DIV/0!</v>
      </c>
      <c r="T195" s="11" t="e">
        <f>SUM($R$126:R195)/($E$87)</f>
        <v>#DIV/0!</v>
      </c>
      <c r="U195" s="89" t="e">
        <f t="shared" si="71"/>
        <v>#DIV/0!</v>
      </c>
      <c r="V195" s="6" t="e">
        <f t="shared" si="72"/>
        <v>#DIV/0!</v>
      </c>
      <c r="W195" s="6" t="e">
        <f t="shared" si="102"/>
        <v>#DIV/0!</v>
      </c>
      <c r="X195" s="6" t="e">
        <f t="shared" si="73"/>
        <v>#DIV/0!</v>
      </c>
      <c r="Y195" s="6" t="e">
        <f t="shared" si="74"/>
        <v>#DIV/0!</v>
      </c>
      <c r="Z195" s="90" t="e">
        <f t="shared" si="75"/>
        <v>#DIV/0!</v>
      </c>
      <c r="AA195" s="89" t="e">
        <f t="shared" si="76"/>
        <v>#DIV/0!</v>
      </c>
      <c r="AB195" s="6" t="e">
        <f t="shared" si="77"/>
        <v>#DIV/0!</v>
      </c>
      <c r="AC195" s="6" t="e">
        <f t="shared" si="78"/>
        <v>#NUM!</v>
      </c>
      <c r="AD195" s="90" t="e">
        <f t="shared" si="79"/>
        <v>#NUM!</v>
      </c>
      <c r="AE195" s="6" t="e">
        <f t="shared" si="80"/>
        <v>#DIV/0!</v>
      </c>
      <c r="AF195" s="6" t="e">
        <f>IF(SUM(AE196:$AE$245)-SUM(AJ196:$AK$245,AN196:$AN$245)&gt;$E$42,0,IF(SUM($AF$125:AF194)=0,$E$42-(SUM(AE196:$AE$245)-SUM(AJ196:$AK$245,AN196:$AN$245)),AE195-SUM(AJ195:AK195,AN195)))</f>
        <v>#DIV/0!</v>
      </c>
      <c r="AG195" s="89" t="e">
        <f t="shared" si="81"/>
        <v>#DIV/0!</v>
      </c>
      <c r="AH195" s="6" t="e">
        <f t="shared" si="103"/>
        <v>#DIV/0!</v>
      </c>
      <c r="AI195" s="6" t="e">
        <f t="shared" si="82"/>
        <v>#DIV/0!</v>
      </c>
      <c r="AJ195" s="6">
        <f t="shared" si="83"/>
        <v>0</v>
      </c>
      <c r="AK195" s="90">
        <f t="shared" si="84"/>
        <v>0</v>
      </c>
      <c r="AL195" s="6" t="e">
        <f t="shared" si="85"/>
        <v>#DIV/0!</v>
      </c>
      <c r="AM195" s="6" t="e">
        <f t="shared" si="104"/>
        <v>#NUM!</v>
      </c>
      <c r="AN195" s="6">
        <f t="shared" si="86"/>
        <v>0</v>
      </c>
      <c r="AO195" s="6" t="e">
        <f t="shared" si="87"/>
        <v>#DIV/0!</v>
      </c>
      <c r="AP195" s="15">
        <f>IFERROR(XIRR($AO$125:AO195,$D$125:D195),-100%)</f>
        <v>-1</v>
      </c>
      <c r="AQ195" s="129" t="e">
        <f t="shared" si="88"/>
        <v>#NUM!</v>
      </c>
      <c r="AR195" s="300">
        <v>0</v>
      </c>
      <c r="AS195" s="130" t="e">
        <f t="shared" si="89"/>
        <v>#DIV/0!</v>
      </c>
      <c r="AT195" s="10">
        <f>IFERROR(XIRR($AS$125:$AS195,$D$125:$D195),-100%)</f>
        <v>-1</v>
      </c>
      <c r="AU195" s="300">
        <v>0</v>
      </c>
      <c r="AV195" s="130" t="e">
        <f t="shared" si="90"/>
        <v>#DIV/0!</v>
      </c>
      <c r="AW195" s="131">
        <f>IFERROR(XIRR($AV$125:$AV195,$D$125:$D195),-100%)</f>
        <v>-1</v>
      </c>
      <c r="AX195" s="213">
        <f t="shared" si="105"/>
        <v>0</v>
      </c>
      <c r="AY195" s="200" t="e">
        <f t="shared" si="91"/>
        <v>#DIV/0!</v>
      </c>
      <c r="AZ195" s="159">
        <f t="shared" si="92"/>
        <v>0</v>
      </c>
      <c r="BA195" s="148" t="e">
        <f t="shared" si="106"/>
        <v>#NUM!</v>
      </c>
      <c r="BB195" s="6" t="e">
        <f t="shared" si="93"/>
        <v>#NUM!</v>
      </c>
      <c r="BC195" s="6" t="e">
        <f t="shared" si="94"/>
        <v>#NUM!</v>
      </c>
      <c r="BD195" s="149" t="e">
        <f t="shared" si="95"/>
        <v>#NUM!</v>
      </c>
      <c r="BE195" s="148" t="e">
        <f t="shared" si="107"/>
        <v>#NUM!</v>
      </c>
      <c r="BF195" s="6" t="e">
        <f t="shared" si="96"/>
        <v>#NUM!</v>
      </c>
      <c r="BG195" s="6" t="e">
        <f t="shared" si="97"/>
        <v>#DIV/0!</v>
      </c>
      <c r="BH195" s="6" t="e">
        <f t="shared" si="108"/>
        <v>#NUM!</v>
      </c>
      <c r="BI195" s="138" t="e">
        <f t="shared" si="98"/>
        <v>#DIV/0!</v>
      </c>
    </row>
    <row r="196" spans="1:61" x14ac:dyDescent="0.25">
      <c r="A196"/>
      <c r="B196" s="9">
        <f t="shared" si="50"/>
        <v>6</v>
      </c>
      <c r="C196" s="13">
        <v>71</v>
      </c>
      <c r="D196" s="12">
        <f t="shared" si="99"/>
        <v>2192</v>
      </c>
      <c r="E196" s="6">
        <f>INDEX(GC!$G$25:$G$144,MATCH($D196,GC!$C$25:$C$144,0))</f>
        <v>0</v>
      </c>
      <c r="F196" s="6">
        <f>INDEX(GC!$I$25:$I$144,MATCH($D196,GC!$C$25:$C$144,0))</f>
        <v>0</v>
      </c>
      <c r="G196" s="6">
        <f t="shared" si="100"/>
        <v>0</v>
      </c>
      <c r="H196" s="6">
        <f t="shared" si="62"/>
        <v>0</v>
      </c>
      <c r="I196" s="6">
        <f t="shared" si="51"/>
        <v>0</v>
      </c>
      <c r="J196" s="6">
        <f>IF(SUM($I$126:I196)&gt;$E$61, SUM($I$126:I196)-SUM($J$125:J195)-$E$61,0)</f>
        <v>0</v>
      </c>
      <c r="K196" s="6" t="e">
        <f t="shared" si="63"/>
        <v>#DIV/0!</v>
      </c>
      <c r="L196" s="6" t="e">
        <f t="shared" si="64"/>
        <v>#DIV/0!</v>
      </c>
      <c r="M196" s="6" t="e">
        <f t="shared" si="65"/>
        <v>#DIV/0!</v>
      </c>
      <c r="N196" s="6">
        <f t="shared" si="66"/>
        <v>0</v>
      </c>
      <c r="O196" s="6">
        <f t="shared" si="67"/>
        <v>0</v>
      </c>
      <c r="P196" s="6">
        <f t="shared" si="68"/>
        <v>0</v>
      </c>
      <c r="Q196" s="6">
        <f t="shared" si="69"/>
        <v>0</v>
      </c>
      <c r="R196" s="6" t="e">
        <f t="shared" si="101"/>
        <v>#DIV/0!</v>
      </c>
      <c r="S196" s="6" t="e">
        <f t="shared" si="70"/>
        <v>#DIV/0!</v>
      </c>
      <c r="T196" s="11" t="e">
        <f>SUM($R$126:R196)/($E$87)</f>
        <v>#DIV/0!</v>
      </c>
      <c r="U196" s="89" t="e">
        <f t="shared" si="71"/>
        <v>#DIV/0!</v>
      </c>
      <c r="V196" s="6" t="e">
        <f t="shared" si="72"/>
        <v>#DIV/0!</v>
      </c>
      <c r="W196" s="6" t="e">
        <f t="shared" si="102"/>
        <v>#DIV/0!</v>
      </c>
      <c r="X196" s="6" t="e">
        <f t="shared" si="73"/>
        <v>#DIV/0!</v>
      </c>
      <c r="Y196" s="6" t="e">
        <f t="shared" si="74"/>
        <v>#DIV/0!</v>
      </c>
      <c r="Z196" s="90" t="e">
        <f t="shared" si="75"/>
        <v>#DIV/0!</v>
      </c>
      <c r="AA196" s="89" t="e">
        <f t="shared" si="76"/>
        <v>#DIV/0!</v>
      </c>
      <c r="AB196" s="6" t="e">
        <f t="shared" si="77"/>
        <v>#DIV/0!</v>
      </c>
      <c r="AC196" s="6" t="e">
        <f t="shared" si="78"/>
        <v>#NUM!</v>
      </c>
      <c r="AD196" s="90" t="e">
        <f t="shared" si="79"/>
        <v>#NUM!</v>
      </c>
      <c r="AE196" s="6" t="e">
        <f t="shared" si="80"/>
        <v>#DIV/0!</v>
      </c>
      <c r="AF196" s="6" t="e">
        <f>IF(SUM(AE197:$AE$245)-SUM(AJ197:$AK$245,AN197:$AN$245)&gt;$E$42,0,IF(SUM($AF$125:AF195)=0,$E$42-(SUM(AE197:$AE$245)-SUM(AJ197:$AK$245,AN197:$AN$245)),AE196-SUM(AJ196:AK196,AN196)))</f>
        <v>#DIV/0!</v>
      </c>
      <c r="AG196" s="89" t="e">
        <f t="shared" si="81"/>
        <v>#DIV/0!</v>
      </c>
      <c r="AH196" s="6" t="e">
        <f t="shared" si="103"/>
        <v>#DIV/0!</v>
      </c>
      <c r="AI196" s="6" t="e">
        <f t="shared" si="82"/>
        <v>#DIV/0!</v>
      </c>
      <c r="AJ196" s="6">
        <f t="shared" si="83"/>
        <v>0</v>
      </c>
      <c r="AK196" s="90">
        <f t="shared" si="84"/>
        <v>0</v>
      </c>
      <c r="AL196" s="6" t="e">
        <f t="shared" si="85"/>
        <v>#DIV/0!</v>
      </c>
      <c r="AM196" s="6" t="e">
        <f t="shared" si="104"/>
        <v>#NUM!</v>
      </c>
      <c r="AN196" s="6">
        <f t="shared" si="86"/>
        <v>0</v>
      </c>
      <c r="AO196" s="6" t="e">
        <f t="shared" si="87"/>
        <v>#DIV/0!</v>
      </c>
      <c r="AP196" s="15">
        <f>IFERROR(XIRR($AO$125:AO196,$D$125:D196),-100%)</f>
        <v>-1</v>
      </c>
      <c r="AQ196" s="129" t="e">
        <f t="shared" si="88"/>
        <v>#NUM!</v>
      </c>
      <c r="AR196" s="300">
        <v>0</v>
      </c>
      <c r="AS196" s="130" t="e">
        <f t="shared" si="89"/>
        <v>#DIV/0!</v>
      </c>
      <c r="AT196" s="10">
        <f>IFERROR(XIRR($AS$125:$AS196,$D$125:$D196),-100%)</f>
        <v>-1</v>
      </c>
      <c r="AU196" s="300">
        <v>0</v>
      </c>
      <c r="AV196" s="130" t="e">
        <f t="shared" si="90"/>
        <v>#DIV/0!</v>
      </c>
      <c r="AW196" s="131">
        <f>IFERROR(XIRR($AV$125:$AV196,$D$125:$D196),-100%)</f>
        <v>-1</v>
      </c>
      <c r="AX196" s="213">
        <f t="shared" si="105"/>
        <v>0</v>
      </c>
      <c r="AY196" s="200" t="e">
        <f t="shared" si="91"/>
        <v>#DIV/0!</v>
      </c>
      <c r="AZ196" s="159">
        <f t="shared" si="92"/>
        <v>0</v>
      </c>
      <c r="BA196" s="148" t="e">
        <f t="shared" si="106"/>
        <v>#NUM!</v>
      </c>
      <c r="BB196" s="6" t="e">
        <f t="shared" si="93"/>
        <v>#NUM!</v>
      </c>
      <c r="BC196" s="6" t="e">
        <f t="shared" si="94"/>
        <v>#NUM!</v>
      </c>
      <c r="BD196" s="149" t="e">
        <f t="shared" si="95"/>
        <v>#NUM!</v>
      </c>
      <c r="BE196" s="148" t="e">
        <f t="shared" si="107"/>
        <v>#NUM!</v>
      </c>
      <c r="BF196" s="6" t="e">
        <f t="shared" si="96"/>
        <v>#NUM!</v>
      </c>
      <c r="BG196" s="6" t="e">
        <f t="shared" si="97"/>
        <v>#DIV/0!</v>
      </c>
      <c r="BH196" s="6" t="e">
        <f t="shared" si="108"/>
        <v>#NUM!</v>
      </c>
      <c r="BI196" s="138" t="e">
        <f t="shared" si="98"/>
        <v>#DIV/0!</v>
      </c>
    </row>
    <row r="197" spans="1:61" x14ac:dyDescent="0.25">
      <c r="A197"/>
      <c r="B197" s="9">
        <f t="shared" si="50"/>
        <v>6</v>
      </c>
      <c r="C197" s="13">
        <v>72</v>
      </c>
      <c r="D197" s="12">
        <f t="shared" si="99"/>
        <v>2223</v>
      </c>
      <c r="E197" s="6">
        <f>INDEX(GC!$G$25:$G$144,MATCH($D197,GC!$C$25:$C$144,0))</f>
        <v>0</v>
      </c>
      <c r="F197" s="6">
        <f>INDEX(GC!$I$25:$I$144,MATCH($D197,GC!$C$25:$C$144,0))</f>
        <v>0</v>
      </c>
      <c r="G197" s="6">
        <f t="shared" si="100"/>
        <v>0</v>
      </c>
      <c r="H197" s="6">
        <f t="shared" si="62"/>
        <v>0</v>
      </c>
      <c r="I197" s="6">
        <f t="shared" si="51"/>
        <v>0</v>
      </c>
      <c r="J197" s="6">
        <f>IF(SUM($I$126:I197)&gt;$E$61, SUM($I$126:I197)-SUM($J$125:J196)-$E$61,0)</f>
        <v>0</v>
      </c>
      <c r="K197" s="6" t="e">
        <f t="shared" si="63"/>
        <v>#DIV/0!</v>
      </c>
      <c r="L197" s="6" t="e">
        <f t="shared" si="64"/>
        <v>#DIV/0!</v>
      </c>
      <c r="M197" s="6" t="e">
        <f t="shared" si="65"/>
        <v>#DIV/0!</v>
      </c>
      <c r="N197" s="6">
        <f t="shared" si="66"/>
        <v>0</v>
      </c>
      <c r="O197" s="6">
        <f t="shared" si="67"/>
        <v>0</v>
      </c>
      <c r="P197" s="6">
        <f t="shared" si="68"/>
        <v>0</v>
      </c>
      <c r="Q197" s="6">
        <f t="shared" si="69"/>
        <v>0</v>
      </c>
      <c r="R197" s="6" t="e">
        <f t="shared" si="101"/>
        <v>#DIV/0!</v>
      </c>
      <c r="S197" s="6" t="e">
        <f t="shared" si="70"/>
        <v>#DIV/0!</v>
      </c>
      <c r="T197" s="11" t="e">
        <f>SUM($R$126:R197)/($E$87)</f>
        <v>#DIV/0!</v>
      </c>
      <c r="U197" s="89" t="e">
        <f t="shared" si="71"/>
        <v>#DIV/0!</v>
      </c>
      <c r="V197" s="6" t="e">
        <f t="shared" si="72"/>
        <v>#DIV/0!</v>
      </c>
      <c r="W197" s="6" t="e">
        <f t="shared" si="102"/>
        <v>#DIV/0!</v>
      </c>
      <c r="X197" s="6" t="e">
        <f t="shared" si="73"/>
        <v>#DIV/0!</v>
      </c>
      <c r="Y197" s="6" t="e">
        <f t="shared" si="74"/>
        <v>#DIV/0!</v>
      </c>
      <c r="Z197" s="90" t="e">
        <f t="shared" si="75"/>
        <v>#DIV/0!</v>
      </c>
      <c r="AA197" s="89" t="e">
        <f t="shared" si="76"/>
        <v>#DIV/0!</v>
      </c>
      <c r="AB197" s="6" t="e">
        <f t="shared" si="77"/>
        <v>#DIV/0!</v>
      </c>
      <c r="AC197" s="6" t="e">
        <f t="shared" si="78"/>
        <v>#NUM!</v>
      </c>
      <c r="AD197" s="90" t="e">
        <f t="shared" si="79"/>
        <v>#NUM!</v>
      </c>
      <c r="AE197" s="6" t="e">
        <f t="shared" si="80"/>
        <v>#DIV/0!</v>
      </c>
      <c r="AF197" s="6" t="e">
        <f>IF(SUM(AE198:$AE$245)-SUM(AJ198:$AK$245,AN198:$AN$245)&gt;$E$42,0,IF(SUM($AF$125:AF196)=0,$E$42-(SUM(AE198:$AE$245)-SUM(AJ198:$AK$245,AN198:$AN$245)),AE197-SUM(AJ197:AK197,AN197)))</f>
        <v>#DIV/0!</v>
      </c>
      <c r="AG197" s="89" t="e">
        <f t="shared" si="81"/>
        <v>#DIV/0!</v>
      </c>
      <c r="AH197" s="6" t="e">
        <f t="shared" si="103"/>
        <v>#DIV/0!</v>
      </c>
      <c r="AI197" s="6" t="e">
        <f t="shared" si="82"/>
        <v>#DIV/0!</v>
      </c>
      <c r="AJ197" s="6">
        <f t="shared" si="83"/>
        <v>0</v>
      </c>
      <c r="AK197" s="90">
        <f t="shared" si="84"/>
        <v>0</v>
      </c>
      <c r="AL197" s="6" t="e">
        <f t="shared" si="85"/>
        <v>#DIV/0!</v>
      </c>
      <c r="AM197" s="6" t="e">
        <f t="shared" si="104"/>
        <v>#NUM!</v>
      </c>
      <c r="AN197" s="6">
        <f t="shared" si="86"/>
        <v>0</v>
      </c>
      <c r="AO197" s="6" t="e">
        <f t="shared" si="87"/>
        <v>#DIV/0!</v>
      </c>
      <c r="AP197" s="15">
        <f>IFERROR(XIRR($AO$125:AO197,$D$125:D197),-100%)</f>
        <v>-1</v>
      </c>
      <c r="AQ197" s="129" t="e">
        <f t="shared" si="88"/>
        <v>#NUM!</v>
      </c>
      <c r="AR197" s="300">
        <v>0</v>
      </c>
      <c r="AS197" s="130" t="e">
        <f t="shared" si="89"/>
        <v>#DIV/0!</v>
      </c>
      <c r="AT197" s="10">
        <f>IFERROR(XIRR($AS$125:$AS197,$D$125:$D197),-100%)</f>
        <v>-1</v>
      </c>
      <c r="AU197" s="300">
        <v>0</v>
      </c>
      <c r="AV197" s="130" t="e">
        <f t="shared" si="90"/>
        <v>#DIV/0!</v>
      </c>
      <c r="AW197" s="131">
        <f>IFERROR(XIRR($AV$125:$AV197,$D$125:$D197),-100%)</f>
        <v>-1</v>
      </c>
      <c r="AX197" s="213">
        <f t="shared" si="105"/>
        <v>0</v>
      </c>
      <c r="AY197" s="200" t="e">
        <f t="shared" si="91"/>
        <v>#DIV/0!</v>
      </c>
      <c r="AZ197" s="159">
        <f t="shared" si="92"/>
        <v>0</v>
      </c>
      <c r="BA197" s="148" t="e">
        <f t="shared" si="106"/>
        <v>#NUM!</v>
      </c>
      <c r="BB197" s="6" t="e">
        <f t="shared" si="93"/>
        <v>#NUM!</v>
      </c>
      <c r="BC197" s="6" t="e">
        <f t="shared" si="94"/>
        <v>#NUM!</v>
      </c>
      <c r="BD197" s="149" t="e">
        <f t="shared" si="95"/>
        <v>#NUM!</v>
      </c>
      <c r="BE197" s="148" t="e">
        <f t="shared" si="107"/>
        <v>#NUM!</v>
      </c>
      <c r="BF197" s="6" t="e">
        <f t="shared" si="96"/>
        <v>#NUM!</v>
      </c>
      <c r="BG197" s="6" t="e">
        <f t="shared" si="97"/>
        <v>#DIV/0!</v>
      </c>
      <c r="BH197" s="6" t="e">
        <f t="shared" si="108"/>
        <v>#NUM!</v>
      </c>
      <c r="BI197" s="138" t="e">
        <f t="shared" si="98"/>
        <v>#DIV/0!</v>
      </c>
    </row>
    <row r="198" spans="1:61" x14ac:dyDescent="0.25">
      <c r="A198"/>
      <c r="B198" s="9">
        <f t="shared" si="50"/>
        <v>7</v>
      </c>
      <c r="C198" s="13">
        <v>73</v>
      </c>
      <c r="D198" s="12">
        <f t="shared" si="99"/>
        <v>2251</v>
      </c>
      <c r="E198" s="6">
        <f>INDEX(GC!$G$25:$G$144,MATCH($D198,GC!$C$25:$C$144,0))</f>
        <v>0</v>
      </c>
      <c r="F198" s="6">
        <f>INDEX(GC!$I$25:$I$144,MATCH($D198,GC!$C$25:$C$144,0))</f>
        <v>0</v>
      </c>
      <c r="G198" s="6">
        <f t="shared" si="100"/>
        <v>0</v>
      </c>
      <c r="H198" s="6">
        <f t="shared" si="62"/>
        <v>0</v>
      </c>
      <c r="I198" s="6">
        <f t="shared" si="51"/>
        <v>0</v>
      </c>
      <c r="J198" s="6">
        <f>IF(SUM($I$126:I198)&gt;$E$61, SUM($I$126:I198)-SUM($J$125:J197)-$E$61,0)</f>
        <v>0</v>
      </c>
      <c r="K198" s="6" t="e">
        <f t="shared" si="63"/>
        <v>#DIV/0!</v>
      </c>
      <c r="L198" s="6" t="e">
        <f t="shared" si="64"/>
        <v>#DIV/0!</v>
      </c>
      <c r="M198" s="6" t="e">
        <f t="shared" si="65"/>
        <v>#DIV/0!</v>
      </c>
      <c r="N198" s="6">
        <f t="shared" si="66"/>
        <v>0</v>
      </c>
      <c r="O198" s="6">
        <f t="shared" si="67"/>
        <v>0</v>
      </c>
      <c r="P198" s="6">
        <f t="shared" si="68"/>
        <v>0</v>
      </c>
      <c r="Q198" s="6">
        <f t="shared" si="69"/>
        <v>0</v>
      </c>
      <c r="R198" s="6" t="e">
        <f t="shared" si="101"/>
        <v>#DIV/0!</v>
      </c>
      <c r="S198" s="6" t="e">
        <f t="shared" si="70"/>
        <v>#DIV/0!</v>
      </c>
      <c r="T198" s="11" t="e">
        <f>SUM($R$126:R198)/($E$87)</f>
        <v>#DIV/0!</v>
      </c>
      <c r="U198" s="89" t="e">
        <f t="shared" si="71"/>
        <v>#DIV/0!</v>
      </c>
      <c r="V198" s="6" t="e">
        <f t="shared" si="72"/>
        <v>#DIV/0!</v>
      </c>
      <c r="W198" s="6" t="e">
        <f t="shared" si="102"/>
        <v>#DIV/0!</v>
      </c>
      <c r="X198" s="6" t="e">
        <f t="shared" si="73"/>
        <v>#DIV/0!</v>
      </c>
      <c r="Y198" s="6" t="e">
        <f t="shared" si="74"/>
        <v>#DIV/0!</v>
      </c>
      <c r="Z198" s="90" t="e">
        <f t="shared" si="75"/>
        <v>#DIV/0!</v>
      </c>
      <c r="AA198" s="89" t="e">
        <f t="shared" si="76"/>
        <v>#DIV/0!</v>
      </c>
      <c r="AB198" s="6" t="e">
        <f t="shared" si="77"/>
        <v>#DIV/0!</v>
      </c>
      <c r="AC198" s="6" t="e">
        <f t="shared" si="78"/>
        <v>#NUM!</v>
      </c>
      <c r="AD198" s="90" t="e">
        <f t="shared" si="79"/>
        <v>#NUM!</v>
      </c>
      <c r="AE198" s="6" t="e">
        <f t="shared" si="80"/>
        <v>#DIV/0!</v>
      </c>
      <c r="AF198" s="6" t="e">
        <f>IF(SUM(AE199:$AE$245)-SUM(AJ199:$AK$245,AN199:$AN$245)&gt;$E$42,0,IF(SUM($AF$125:AF197)=0,$E$42-(SUM(AE199:$AE$245)-SUM(AJ199:$AK$245,AN199:$AN$245)),AE198-SUM(AJ198:AK198,AN198)))</f>
        <v>#DIV/0!</v>
      </c>
      <c r="AG198" s="89" t="e">
        <f t="shared" si="81"/>
        <v>#DIV/0!</v>
      </c>
      <c r="AH198" s="6" t="e">
        <f t="shared" si="103"/>
        <v>#DIV/0!</v>
      </c>
      <c r="AI198" s="6" t="e">
        <f t="shared" si="82"/>
        <v>#DIV/0!</v>
      </c>
      <c r="AJ198" s="6">
        <f t="shared" si="83"/>
        <v>0</v>
      </c>
      <c r="AK198" s="90">
        <f t="shared" si="84"/>
        <v>0</v>
      </c>
      <c r="AL198" s="6" t="e">
        <f t="shared" si="85"/>
        <v>#DIV/0!</v>
      </c>
      <c r="AM198" s="6" t="e">
        <f t="shared" si="104"/>
        <v>#NUM!</v>
      </c>
      <c r="AN198" s="6">
        <f t="shared" si="86"/>
        <v>0</v>
      </c>
      <c r="AO198" s="6" t="e">
        <f t="shared" si="87"/>
        <v>#DIV/0!</v>
      </c>
      <c r="AP198" s="15">
        <f>IFERROR(XIRR($AO$125:AO198,$D$125:D198),-100%)</f>
        <v>-1</v>
      </c>
      <c r="AQ198" s="129" t="e">
        <f t="shared" si="88"/>
        <v>#NUM!</v>
      </c>
      <c r="AR198" s="300">
        <v>0</v>
      </c>
      <c r="AS198" s="130" t="e">
        <f t="shared" si="89"/>
        <v>#DIV/0!</v>
      </c>
      <c r="AT198" s="10">
        <f>IFERROR(XIRR($AS$125:$AS198,$D$125:$D198),-100%)</f>
        <v>-1</v>
      </c>
      <c r="AU198" s="300">
        <v>0</v>
      </c>
      <c r="AV198" s="130" t="e">
        <f t="shared" si="90"/>
        <v>#DIV/0!</v>
      </c>
      <c r="AW198" s="131">
        <f>IFERROR(XIRR($AV$125:$AV198,$D$125:$D198),-100%)</f>
        <v>-1</v>
      </c>
      <c r="AX198" s="213">
        <f t="shared" si="105"/>
        <v>0</v>
      </c>
      <c r="AY198" s="200" t="e">
        <f t="shared" si="91"/>
        <v>#DIV/0!</v>
      </c>
      <c r="AZ198" s="159">
        <f t="shared" si="92"/>
        <v>0</v>
      </c>
      <c r="BA198" s="148" t="e">
        <f t="shared" si="106"/>
        <v>#NUM!</v>
      </c>
      <c r="BB198" s="6" t="e">
        <f t="shared" si="93"/>
        <v>#NUM!</v>
      </c>
      <c r="BC198" s="6" t="e">
        <f t="shared" si="94"/>
        <v>#NUM!</v>
      </c>
      <c r="BD198" s="149" t="e">
        <f t="shared" si="95"/>
        <v>#NUM!</v>
      </c>
      <c r="BE198" s="148" t="e">
        <f t="shared" si="107"/>
        <v>#NUM!</v>
      </c>
      <c r="BF198" s="6" t="e">
        <f t="shared" si="96"/>
        <v>#NUM!</v>
      </c>
      <c r="BG198" s="6" t="e">
        <f t="shared" si="97"/>
        <v>#DIV/0!</v>
      </c>
      <c r="BH198" s="6" t="e">
        <f t="shared" si="108"/>
        <v>#NUM!</v>
      </c>
      <c r="BI198" s="138" t="e">
        <f t="shared" si="98"/>
        <v>#DIV/0!</v>
      </c>
    </row>
    <row r="199" spans="1:61" x14ac:dyDescent="0.25">
      <c r="A199"/>
      <c r="B199" s="9">
        <f t="shared" si="50"/>
        <v>7</v>
      </c>
      <c r="C199" s="13">
        <v>74</v>
      </c>
      <c r="D199" s="12">
        <f t="shared" si="99"/>
        <v>2282</v>
      </c>
      <c r="E199" s="6">
        <f>INDEX(GC!$G$25:$G$144,MATCH($D199,GC!$C$25:$C$144,0))</f>
        <v>0</v>
      </c>
      <c r="F199" s="6">
        <f>INDEX(GC!$I$25:$I$144,MATCH($D199,GC!$C$25:$C$144,0))</f>
        <v>0</v>
      </c>
      <c r="G199" s="6">
        <f t="shared" si="100"/>
        <v>0</v>
      </c>
      <c r="H199" s="6">
        <f t="shared" si="62"/>
        <v>0</v>
      </c>
      <c r="I199" s="6">
        <f t="shared" si="51"/>
        <v>0</v>
      </c>
      <c r="J199" s="6">
        <f>IF(SUM($I$126:I199)&gt;$E$61, SUM($I$126:I199)-SUM($J$125:J198)-$E$61,0)</f>
        <v>0</v>
      </c>
      <c r="K199" s="6" t="e">
        <f t="shared" si="63"/>
        <v>#DIV/0!</v>
      </c>
      <c r="L199" s="6" t="e">
        <f t="shared" si="64"/>
        <v>#DIV/0!</v>
      </c>
      <c r="M199" s="6" t="e">
        <f t="shared" si="65"/>
        <v>#DIV/0!</v>
      </c>
      <c r="N199" s="6">
        <f t="shared" si="66"/>
        <v>0</v>
      </c>
      <c r="O199" s="6">
        <f t="shared" si="67"/>
        <v>0</v>
      </c>
      <c r="P199" s="6">
        <f t="shared" si="68"/>
        <v>0</v>
      </c>
      <c r="Q199" s="6">
        <f t="shared" si="69"/>
        <v>0</v>
      </c>
      <c r="R199" s="6" t="e">
        <f t="shared" si="101"/>
        <v>#DIV/0!</v>
      </c>
      <c r="S199" s="6" t="e">
        <f t="shared" si="70"/>
        <v>#DIV/0!</v>
      </c>
      <c r="T199" s="11" t="e">
        <f>SUM($R$126:R199)/($E$87)</f>
        <v>#DIV/0!</v>
      </c>
      <c r="U199" s="89" t="e">
        <f t="shared" si="71"/>
        <v>#DIV/0!</v>
      </c>
      <c r="V199" s="6" t="e">
        <f t="shared" si="72"/>
        <v>#DIV/0!</v>
      </c>
      <c r="W199" s="6" t="e">
        <f t="shared" si="102"/>
        <v>#DIV/0!</v>
      </c>
      <c r="X199" s="6" t="e">
        <f t="shared" si="73"/>
        <v>#DIV/0!</v>
      </c>
      <c r="Y199" s="6" t="e">
        <f t="shared" si="74"/>
        <v>#DIV/0!</v>
      </c>
      <c r="Z199" s="90" t="e">
        <f t="shared" si="75"/>
        <v>#DIV/0!</v>
      </c>
      <c r="AA199" s="89" t="e">
        <f t="shared" si="76"/>
        <v>#DIV/0!</v>
      </c>
      <c r="AB199" s="6" t="e">
        <f t="shared" si="77"/>
        <v>#DIV/0!</v>
      </c>
      <c r="AC199" s="6" t="e">
        <f t="shared" si="78"/>
        <v>#NUM!</v>
      </c>
      <c r="AD199" s="90" t="e">
        <f t="shared" si="79"/>
        <v>#NUM!</v>
      </c>
      <c r="AE199" s="6" t="e">
        <f t="shared" si="80"/>
        <v>#DIV/0!</v>
      </c>
      <c r="AF199" s="6" t="e">
        <f>IF(SUM(AE200:$AE$245)-SUM(AJ200:$AK$245,AN200:$AN$245)&gt;$E$42,0,IF(SUM($AF$125:AF198)=0,$E$42-(SUM(AE200:$AE$245)-SUM(AJ200:$AK$245,AN200:$AN$245)),AE199-SUM(AJ199:AK199,AN199)))</f>
        <v>#DIV/0!</v>
      </c>
      <c r="AG199" s="89" t="e">
        <f t="shared" si="81"/>
        <v>#DIV/0!</v>
      </c>
      <c r="AH199" s="6" t="e">
        <f t="shared" si="103"/>
        <v>#DIV/0!</v>
      </c>
      <c r="AI199" s="6" t="e">
        <f t="shared" si="82"/>
        <v>#DIV/0!</v>
      </c>
      <c r="AJ199" s="6">
        <f t="shared" si="83"/>
        <v>0</v>
      </c>
      <c r="AK199" s="90">
        <f t="shared" si="84"/>
        <v>0</v>
      </c>
      <c r="AL199" s="6" t="e">
        <f t="shared" si="85"/>
        <v>#DIV/0!</v>
      </c>
      <c r="AM199" s="6" t="e">
        <f t="shared" si="104"/>
        <v>#NUM!</v>
      </c>
      <c r="AN199" s="6">
        <f t="shared" si="86"/>
        <v>0</v>
      </c>
      <c r="AO199" s="6" t="e">
        <f t="shared" si="87"/>
        <v>#DIV/0!</v>
      </c>
      <c r="AP199" s="15">
        <f>IFERROR(XIRR($AO$125:AO199,$D$125:D199),-100%)</f>
        <v>-1</v>
      </c>
      <c r="AQ199" s="129" t="e">
        <f t="shared" si="88"/>
        <v>#NUM!</v>
      </c>
      <c r="AR199" s="300">
        <v>0</v>
      </c>
      <c r="AS199" s="130" t="e">
        <f t="shared" si="89"/>
        <v>#DIV/0!</v>
      </c>
      <c r="AT199" s="10">
        <f>IFERROR(XIRR($AS$125:$AS199,$D$125:$D199),-100%)</f>
        <v>-1</v>
      </c>
      <c r="AU199" s="300">
        <v>0</v>
      </c>
      <c r="AV199" s="130" t="e">
        <f t="shared" si="90"/>
        <v>#DIV/0!</v>
      </c>
      <c r="AW199" s="131">
        <f>IFERROR(XIRR($AV$125:$AV199,$D$125:$D199),-100%)</f>
        <v>-1</v>
      </c>
      <c r="AX199" s="213">
        <f t="shared" si="105"/>
        <v>0</v>
      </c>
      <c r="AY199" s="200" t="e">
        <f t="shared" si="91"/>
        <v>#DIV/0!</v>
      </c>
      <c r="AZ199" s="159">
        <f t="shared" si="92"/>
        <v>0</v>
      </c>
      <c r="BA199" s="148" t="e">
        <f t="shared" si="106"/>
        <v>#NUM!</v>
      </c>
      <c r="BB199" s="6" t="e">
        <f t="shared" si="93"/>
        <v>#NUM!</v>
      </c>
      <c r="BC199" s="6" t="e">
        <f t="shared" si="94"/>
        <v>#NUM!</v>
      </c>
      <c r="BD199" s="149" t="e">
        <f t="shared" si="95"/>
        <v>#NUM!</v>
      </c>
      <c r="BE199" s="148" t="e">
        <f t="shared" si="107"/>
        <v>#NUM!</v>
      </c>
      <c r="BF199" s="6" t="e">
        <f t="shared" si="96"/>
        <v>#NUM!</v>
      </c>
      <c r="BG199" s="6" t="e">
        <f t="shared" si="97"/>
        <v>#DIV/0!</v>
      </c>
      <c r="BH199" s="6" t="e">
        <f t="shared" si="108"/>
        <v>#NUM!</v>
      </c>
      <c r="BI199" s="138" t="e">
        <f t="shared" si="98"/>
        <v>#DIV/0!</v>
      </c>
    </row>
    <row r="200" spans="1:61" x14ac:dyDescent="0.25">
      <c r="A200"/>
      <c r="B200" s="9">
        <f t="shared" si="50"/>
        <v>7</v>
      </c>
      <c r="C200" s="13">
        <v>75</v>
      </c>
      <c r="D200" s="12">
        <f t="shared" si="99"/>
        <v>2312</v>
      </c>
      <c r="E200" s="6">
        <f>INDEX(GC!$G$25:$G$144,MATCH($D200,GC!$C$25:$C$144,0))</f>
        <v>0</v>
      </c>
      <c r="F200" s="6">
        <f>INDEX(GC!$I$25:$I$144,MATCH($D200,GC!$C$25:$C$144,0))</f>
        <v>0</v>
      </c>
      <c r="G200" s="6">
        <f t="shared" si="100"/>
        <v>0</v>
      </c>
      <c r="H200" s="6">
        <f t="shared" si="62"/>
        <v>0</v>
      </c>
      <c r="I200" s="6">
        <f t="shared" si="51"/>
        <v>0</v>
      </c>
      <c r="J200" s="6">
        <f>IF(SUM($I$126:I200)&gt;$E$61, SUM($I$126:I200)-SUM($J$125:J199)-$E$61,0)</f>
        <v>0</v>
      </c>
      <c r="K200" s="6" t="e">
        <f t="shared" si="63"/>
        <v>#DIV/0!</v>
      </c>
      <c r="L200" s="6" t="e">
        <f t="shared" si="64"/>
        <v>#DIV/0!</v>
      </c>
      <c r="M200" s="6" t="e">
        <f t="shared" si="65"/>
        <v>#DIV/0!</v>
      </c>
      <c r="N200" s="6">
        <f t="shared" si="66"/>
        <v>0</v>
      </c>
      <c r="O200" s="6">
        <f t="shared" si="67"/>
        <v>0</v>
      </c>
      <c r="P200" s="6">
        <f t="shared" si="68"/>
        <v>0</v>
      </c>
      <c r="Q200" s="6">
        <f t="shared" si="69"/>
        <v>0</v>
      </c>
      <c r="R200" s="6" t="e">
        <f t="shared" si="101"/>
        <v>#DIV/0!</v>
      </c>
      <c r="S200" s="6" t="e">
        <f t="shared" si="70"/>
        <v>#DIV/0!</v>
      </c>
      <c r="T200" s="11" t="e">
        <f>SUM($R$126:R200)/($E$87)</f>
        <v>#DIV/0!</v>
      </c>
      <c r="U200" s="89" t="e">
        <f t="shared" si="71"/>
        <v>#DIV/0!</v>
      </c>
      <c r="V200" s="6" t="e">
        <f t="shared" si="72"/>
        <v>#DIV/0!</v>
      </c>
      <c r="W200" s="6" t="e">
        <f t="shared" si="102"/>
        <v>#DIV/0!</v>
      </c>
      <c r="X200" s="6" t="e">
        <f t="shared" si="73"/>
        <v>#DIV/0!</v>
      </c>
      <c r="Y200" s="6" t="e">
        <f t="shared" si="74"/>
        <v>#DIV/0!</v>
      </c>
      <c r="Z200" s="90" t="e">
        <f t="shared" si="75"/>
        <v>#DIV/0!</v>
      </c>
      <c r="AA200" s="89" t="e">
        <f t="shared" si="76"/>
        <v>#DIV/0!</v>
      </c>
      <c r="AB200" s="6" t="e">
        <f t="shared" si="77"/>
        <v>#DIV/0!</v>
      </c>
      <c r="AC200" s="6" t="e">
        <f t="shared" si="78"/>
        <v>#NUM!</v>
      </c>
      <c r="AD200" s="90" t="e">
        <f t="shared" si="79"/>
        <v>#NUM!</v>
      </c>
      <c r="AE200" s="6" t="e">
        <f t="shared" si="80"/>
        <v>#DIV/0!</v>
      </c>
      <c r="AF200" s="6" t="e">
        <f>IF(SUM(AE201:$AE$245)-SUM(AJ201:$AK$245,AN201:$AN$245)&gt;$E$42,0,IF(SUM($AF$125:AF199)=0,$E$42-(SUM(AE201:$AE$245)-SUM(AJ201:$AK$245,AN201:$AN$245)),AE200-SUM(AJ200:AK200,AN200)))</f>
        <v>#DIV/0!</v>
      </c>
      <c r="AG200" s="89" t="e">
        <f t="shared" si="81"/>
        <v>#DIV/0!</v>
      </c>
      <c r="AH200" s="6" t="e">
        <f t="shared" si="103"/>
        <v>#DIV/0!</v>
      </c>
      <c r="AI200" s="6" t="e">
        <f t="shared" si="82"/>
        <v>#DIV/0!</v>
      </c>
      <c r="AJ200" s="6">
        <f t="shared" si="83"/>
        <v>0</v>
      </c>
      <c r="AK200" s="90">
        <f t="shared" si="84"/>
        <v>0</v>
      </c>
      <c r="AL200" s="6" t="e">
        <f t="shared" si="85"/>
        <v>#DIV/0!</v>
      </c>
      <c r="AM200" s="6" t="e">
        <f t="shared" si="104"/>
        <v>#NUM!</v>
      </c>
      <c r="AN200" s="6">
        <f t="shared" si="86"/>
        <v>0</v>
      </c>
      <c r="AO200" s="6" t="e">
        <f t="shared" si="87"/>
        <v>#DIV/0!</v>
      </c>
      <c r="AP200" s="15">
        <f>IFERROR(XIRR($AO$125:AO200,$D$125:D200),-100%)</f>
        <v>-1</v>
      </c>
      <c r="AQ200" s="129" t="e">
        <f t="shared" si="88"/>
        <v>#NUM!</v>
      </c>
      <c r="AR200" s="300">
        <v>0</v>
      </c>
      <c r="AS200" s="130" t="e">
        <f t="shared" si="89"/>
        <v>#DIV/0!</v>
      </c>
      <c r="AT200" s="10">
        <f>IFERROR(XIRR($AS$125:$AS200,$D$125:$D200),-100%)</f>
        <v>-1</v>
      </c>
      <c r="AU200" s="300">
        <v>0</v>
      </c>
      <c r="AV200" s="130" t="e">
        <f t="shared" si="90"/>
        <v>#DIV/0!</v>
      </c>
      <c r="AW200" s="131">
        <f>IFERROR(XIRR($AV$125:$AV200,$D$125:$D200),-100%)</f>
        <v>-1</v>
      </c>
      <c r="AX200" s="213">
        <f t="shared" si="105"/>
        <v>0</v>
      </c>
      <c r="AY200" s="200" t="e">
        <f t="shared" si="91"/>
        <v>#DIV/0!</v>
      </c>
      <c r="AZ200" s="159">
        <f t="shared" si="92"/>
        <v>0</v>
      </c>
      <c r="BA200" s="148" t="e">
        <f t="shared" si="106"/>
        <v>#NUM!</v>
      </c>
      <c r="BB200" s="6" t="e">
        <f t="shared" si="93"/>
        <v>#NUM!</v>
      </c>
      <c r="BC200" s="6" t="e">
        <f t="shared" si="94"/>
        <v>#NUM!</v>
      </c>
      <c r="BD200" s="149" t="e">
        <f t="shared" si="95"/>
        <v>#NUM!</v>
      </c>
      <c r="BE200" s="148" t="e">
        <f t="shared" si="107"/>
        <v>#NUM!</v>
      </c>
      <c r="BF200" s="6" t="e">
        <f t="shared" si="96"/>
        <v>#NUM!</v>
      </c>
      <c r="BG200" s="6" t="e">
        <f t="shared" si="97"/>
        <v>#DIV/0!</v>
      </c>
      <c r="BH200" s="6" t="e">
        <f t="shared" si="108"/>
        <v>#NUM!</v>
      </c>
      <c r="BI200" s="138" t="e">
        <f t="shared" si="98"/>
        <v>#DIV/0!</v>
      </c>
    </row>
    <row r="201" spans="1:61" x14ac:dyDescent="0.25">
      <c r="A201"/>
      <c r="B201" s="9">
        <f t="shared" si="50"/>
        <v>7</v>
      </c>
      <c r="C201" s="13">
        <v>76</v>
      </c>
      <c r="D201" s="12">
        <f t="shared" si="99"/>
        <v>2343</v>
      </c>
      <c r="E201" s="6">
        <f>INDEX(GC!$G$25:$G$144,MATCH($D201,GC!$C$25:$C$144,0))</f>
        <v>0</v>
      </c>
      <c r="F201" s="6">
        <f>INDEX(GC!$I$25:$I$144,MATCH($D201,GC!$C$25:$C$144,0))</f>
        <v>0</v>
      </c>
      <c r="G201" s="6">
        <f t="shared" si="100"/>
        <v>0</v>
      </c>
      <c r="H201" s="6">
        <f t="shared" si="62"/>
        <v>0</v>
      </c>
      <c r="I201" s="6">
        <f t="shared" si="51"/>
        <v>0</v>
      </c>
      <c r="J201" s="6">
        <f>IF(SUM($I$126:I201)&gt;$E$61, SUM($I$126:I201)-SUM($J$125:J200)-$E$61,0)</f>
        <v>0</v>
      </c>
      <c r="K201" s="6" t="e">
        <f t="shared" si="63"/>
        <v>#DIV/0!</v>
      </c>
      <c r="L201" s="6" t="e">
        <f t="shared" si="64"/>
        <v>#DIV/0!</v>
      </c>
      <c r="M201" s="6" t="e">
        <f t="shared" si="65"/>
        <v>#DIV/0!</v>
      </c>
      <c r="N201" s="6">
        <f t="shared" si="66"/>
        <v>0</v>
      </c>
      <c r="O201" s="6">
        <f t="shared" si="67"/>
        <v>0</v>
      </c>
      <c r="P201" s="6">
        <f t="shared" si="68"/>
        <v>0</v>
      </c>
      <c r="Q201" s="6">
        <f t="shared" si="69"/>
        <v>0</v>
      </c>
      <c r="R201" s="6" t="e">
        <f t="shared" si="101"/>
        <v>#DIV/0!</v>
      </c>
      <c r="S201" s="6" t="e">
        <f t="shared" si="70"/>
        <v>#DIV/0!</v>
      </c>
      <c r="T201" s="11" t="e">
        <f>SUM($R$126:R201)/($E$87)</f>
        <v>#DIV/0!</v>
      </c>
      <c r="U201" s="89" t="e">
        <f t="shared" si="71"/>
        <v>#DIV/0!</v>
      </c>
      <c r="V201" s="6" t="e">
        <f t="shared" si="72"/>
        <v>#DIV/0!</v>
      </c>
      <c r="W201" s="6" t="e">
        <f t="shared" si="102"/>
        <v>#DIV/0!</v>
      </c>
      <c r="X201" s="6" t="e">
        <f t="shared" si="73"/>
        <v>#DIV/0!</v>
      </c>
      <c r="Y201" s="6" t="e">
        <f t="shared" si="74"/>
        <v>#DIV/0!</v>
      </c>
      <c r="Z201" s="90" t="e">
        <f t="shared" si="75"/>
        <v>#DIV/0!</v>
      </c>
      <c r="AA201" s="89" t="e">
        <f t="shared" si="76"/>
        <v>#DIV/0!</v>
      </c>
      <c r="AB201" s="6" t="e">
        <f t="shared" si="77"/>
        <v>#DIV/0!</v>
      </c>
      <c r="AC201" s="6" t="e">
        <f t="shared" si="78"/>
        <v>#NUM!</v>
      </c>
      <c r="AD201" s="90" t="e">
        <f t="shared" si="79"/>
        <v>#NUM!</v>
      </c>
      <c r="AE201" s="6" t="e">
        <f t="shared" si="80"/>
        <v>#DIV/0!</v>
      </c>
      <c r="AF201" s="6" t="e">
        <f>IF(SUM(AE202:$AE$245)-SUM(AJ202:$AK$245,AN202:$AN$245)&gt;$E$42,0,IF(SUM($AF$125:AF200)=0,$E$42-(SUM(AE202:$AE$245)-SUM(AJ202:$AK$245,AN202:$AN$245)),AE201-SUM(AJ201:AK201,AN201)))</f>
        <v>#DIV/0!</v>
      </c>
      <c r="AG201" s="89" t="e">
        <f t="shared" si="81"/>
        <v>#DIV/0!</v>
      </c>
      <c r="AH201" s="6" t="e">
        <f t="shared" si="103"/>
        <v>#DIV/0!</v>
      </c>
      <c r="AI201" s="6" t="e">
        <f t="shared" si="82"/>
        <v>#DIV/0!</v>
      </c>
      <c r="AJ201" s="6">
        <f t="shared" si="83"/>
        <v>0</v>
      </c>
      <c r="AK201" s="90">
        <f t="shared" si="84"/>
        <v>0</v>
      </c>
      <c r="AL201" s="6" t="e">
        <f t="shared" si="85"/>
        <v>#DIV/0!</v>
      </c>
      <c r="AM201" s="6" t="e">
        <f t="shared" si="104"/>
        <v>#NUM!</v>
      </c>
      <c r="AN201" s="6">
        <f t="shared" si="86"/>
        <v>0</v>
      </c>
      <c r="AO201" s="6" t="e">
        <f t="shared" si="87"/>
        <v>#DIV/0!</v>
      </c>
      <c r="AP201" s="15">
        <f>IFERROR(XIRR($AO$125:AO201,$D$125:D201),-100%)</f>
        <v>-1</v>
      </c>
      <c r="AQ201" s="129" t="e">
        <f t="shared" si="88"/>
        <v>#NUM!</v>
      </c>
      <c r="AR201" s="300">
        <v>0</v>
      </c>
      <c r="AS201" s="130" t="e">
        <f t="shared" si="89"/>
        <v>#DIV/0!</v>
      </c>
      <c r="AT201" s="10">
        <f>IFERROR(XIRR($AS$125:$AS201,$D$125:$D201),-100%)</f>
        <v>-1</v>
      </c>
      <c r="AU201" s="300">
        <v>0</v>
      </c>
      <c r="AV201" s="130" t="e">
        <f t="shared" si="90"/>
        <v>#DIV/0!</v>
      </c>
      <c r="AW201" s="131">
        <f>IFERROR(XIRR($AV$125:$AV201,$D$125:$D201),-100%)</f>
        <v>-1</v>
      </c>
      <c r="AX201" s="213">
        <f t="shared" si="105"/>
        <v>0</v>
      </c>
      <c r="AY201" s="200" t="e">
        <f t="shared" si="91"/>
        <v>#DIV/0!</v>
      </c>
      <c r="AZ201" s="159">
        <f t="shared" si="92"/>
        <v>0</v>
      </c>
      <c r="BA201" s="148" t="e">
        <f t="shared" si="106"/>
        <v>#NUM!</v>
      </c>
      <c r="BB201" s="6" t="e">
        <f t="shared" si="93"/>
        <v>#NUM!</v>
      </c>
      <c r="BC201" s="6" t="e">
        <f t="shared" si="94"/>
        <v>#NUM!</v>
      </c>
      <c r="BD201" s="149" t="e">
        <f t="shared" si="95"/>
        <v>#NUM!</v>
      </c>
      <c r="BE201" s="148" t="e">
        <f t="shared" si="107"/>
        <v>#NUM!</v>
      </c>
      <c r="BF201" s="6" t="e">
        <f t="shared" si="96"/>
        <v>#NUM!</v>
      </c>
      <c r="BG201" s="6" t="e">
        <f t="shared" si="97"/>
        <v>#DIV/0!</v>
      </c>
      <c r="BH201" s="6" t="e">
        <f t="shared" si="108"/>
        <v>#NUM!</v>
      </c>
      <c r="BI201" s="138" t="e">
        <f t="shared" si="98"/>
        <v>#DIV/0!</v>
      </c>
    </row>
    <row r="202" spans="1:61" x14ac:dyDescent="0.25">
      <c r="A202"/>
      <c r="B202" s="9">
        <f t="shared" ref="B202:B245" si="109">1+B190</f>
        <v>7</v>
      </c>
      <c r="C202" s="13">
        <v>77</v>
      </c>
      <c r="D202" s="12">
        <f t="shared" si="99"/>
        <v>2373</v>
      </c>
      <c r="E202" s="6">
        <f>INDEX(GC!$G$25:$G$144,MATCH($D202,GC!$C$25:$C$144,0))</f>
        <v>0</v>
      </c>
      <c r="F202" s="6">
        <f>INDEX(GC!$I$25:$I$144,MATCH($D202,GC!$C$25:$C$144,0))</f>
        <v>0</v>
      </c>
      <c r="G202" s="6">
        <f t="shared" si="100"/>
        <v>0</v>
      </c>
      <c r="H202" s="6">
        <f t="shared" si="62"/>
        <v>0</v>
      </c>
      <c r="I202" s="6">
        <f t="shared" si="51"/>
        <v>0</v>
      </c>
      <c r="J202" s="6">
        <f>IF(SUM($I$126:I202)&gt;$E$61, SUM($I$126:I202)-SUM($J$125:J201)-$E$61,0)</f>
        <v>0</v>
      </c>
      <c r="K202" s="6" t="e">
        <f t="shared" si="63"/>
        <v>#DIV/0!</v>
      </c>
      <c r="L202" s="6" t="e">
        <f t="shared" si="64"/>
        <v>#DIV/0!</v>
      </c>
      <c r="M202" s="6" t="e">
        <f t="shared" si="65"/>
        <v>#DIV/0!</v>
      </c>
      <c r="N202" s="6">
        <f t="shared" si="66"/>
        <v>0</v>
      </c>
      <c r="O202" s="6">
        <f t="shared" si="67"/>
        <v>0</v>
      </c>
      <c r="P202" s="6">
        <f t="shared" si="68"/>
        <v>0</v>
      </c>
      <c r="Q202" s="6">
        <f t="shared" si="69"/>
        <v>0</v>
      </c>
      <c r="R202" s="6" t="e">
        <f t="shared" si="101"/>
        <v>#DIV/0!</v>
      </c>
      <c r="S202" s="6" t="e">
        <f t="shared" si="70"/>
        <v>#DIV/0!</v>
      </c>
      <c r="T202" s="11" t="e">
        <f>SUM($R$126:R202)/($E$87)</f>
        <v>#DIV/0!</v>
      </c>
      <c r="U202" s="89" t="e">
        <f t="shared" si="71"/>
        <v>#DIV/0!</v>
      </c>
      <c r="V202" s="6" t="e">
        <f t="shared" si="72"/>
        <v>#DIV/0!</v>
      </c>
      <c r="W202" s="6" t="e">
        <f t="shared" si="102"/>
        <v>#DIV/0!</v>
      </c>
      <c r="X202" s="6" t="e">
        <f t="shared" si="73"/>
        <v>#DIV/0!</v>
      </c>
      <c r="Y202" s="6" t="e">
        <f t="shared" si="74"/>
        <v>#DIV/0!</v>
      </c>
      <c r="Z202" s="90" t="e">
        <f t="shared" si="75"/>
        <v>#DIV/0!</v>
      </c>
      <c r="AA202" s="89" t="e">
        <f t="shared" si="76"/>
        <v>#DIV/0!</v>
      </c>
      <c r="AB202" s="6" t="e">
        <f t="shared" si="77"/>
        <v>#DIV/0!</v>
      </c>
      <c r="AC202" s="6" t="e">
        <f t="shared" si="78"/>
        <v>#NUM!</v>
      </c>
      <c r="AD202" s="90" t="e">
        <f t="shared" si="79"/>
        <v>#NUM!</v>
      </c>
      <c r="AE202" s="6" t="e">
        <f t="shared" si="80"/>
        <v>#DIV/0!</v>
      </c>
      <c r="AF202" s="6" t="e">
        <f>IF(SUM(AE203:$AE$245)-SUM(AJ203:$AK$245,AN203:$AN$245)&gt;$E$42,0,IF(SUM($AF$125:AF201)=0,$E$42-(SUM(AE203:$AE$245)-SUM(AJ203:$AK$245,AN203:$AN$245)),AE202-SUM(AJ202:AK202,AN202)))</f>
        <v>#DIV/0!</v>
      </c>
      <c r="AG202" s="89" t="e">
        <f t="shared" si="81"/>
        <v>#DIV/0!</v>
      </c>
      <c r="AH202" s="6" t="e">
        <f t="shared" si="103"/>
        <v>#DIV/0!</v>
      </c>
      <c r="AI202" s="6" t="e">
        <f t="shared" si="82"/>
        <v>#DIV/0!</v>
      </c>
      <c r="AJ202" s="6">
        <f t="shared" si="83"/>
        <v>0</v>
      </c>
      <c r="AK202" s="90">
        <f t="shared" si="84"/>
        <v>0</v>
      </c>
      <c r="AL202" s="6" t="e">
        <f t="shared" si="85"/>
        <v>#DIV/0!</v>
      </c>
      <c r="AM202" s="6" t="e">
        <f t="shared" si="104"/>
        <v>#NUM!</v>
      </c>
      <c r="AN202" s="6">
        <f t="shared" si="86"/>
        <v>0</v>
      </c>
      <c r="AO202" s="6" t="e">
        <f t="shared" si="87"/>
        <v>#DIV/0!</v>
      </c>
      <c r="AP202" s="15">
        <f>IFERROR(XIRR($AO$125:AO202,$D$125:D202),-100%)</f>
        <v>-1</v>
      </c>
      <c r="AQ202" s="129" t="e">
        <f t="shared" si="88"/>
        <v>#NUM!</v>
      </c>
      <c r="AR202" s="300">
        <v>0</v>
      </c>
      <c r="AS202" s="130" t="e">
        <f t="shared" si="89"/>
        <v>#DIV/0!</v>
      </c>
      <c r="AT202" s="10">
        <f>IFERROR(XIRR($AS$125:$AS202,$D$125:$D202),-100%)</f>
        <v>-1</v>
      </c>
      <c r="AU202" s="300">
        <v>0</v>
      </c>
      <c r="AV202" s="130" t="e">
        <f t="shared" si="90"/>
        <v>#DIV/0!</v>
      </c>
      <c r="AW202" s="131">
        <f>IFERROR(XIRR($AV$125:$AV202,$D$125:$D202),-100%)</f>
        <v>-1</v>
      </c>
      <c r="AX202" s="213">
        <f t="shared" si="105"/>
        <v>0</v>
      </c>
      <c r="AY202" s="200" t="e">
        <f t="shared" si="91"/>
        <v>#DIV/0!</v>
      </c>
      <c r="AZ202" s="159">
        <f t="shared" si="92"/>
        <v>0</v>
      </c>
      <c r="BA202" s="148" t="e">
        <f t="shared" si="106"/>
        <v>#NUM!</v>
      </c>
      <c r="BB202" s="6" t="e">
        <f t="shared" si="93"/>
        <v>#NUM!</v>
      </c>
      <c r="BC202" s="6" t="e">
        <f t="shared" si="94"/>
        <v>#NUM!</v>
      </c>
      <c r="BD202" s="149" t="e">
        <f t="shared" si="95"/>
        <v>#NUM!</v>
      </c>
      <c r="BE202" s="148" t="e">
        <f t="shared" si="107"/>
        <v>#NUM!</v>
      </c>
      <c r="BF202" s="6" t="e">
        <f t="shared" si="96"/>
        <v>#NUM!</v>
      </c>
      <c r="BG202" s="6" t="e">
        <f t="shared" si="97"/>
        <v>#DIV/0!</v>
      </c>
      <c r="BH202" s="6" t="e">
        <f t="shared" si="108"/>
        <v>#NUM!</v>
      </c>
      <c r="BI202" s="138" t="e">
        <f t="shared" si="98"/>
        <v>#DIV/0!</v>
      </c>
    </row>
    <row r="203" spans="1:61" x14ac:dyDescent="0.25">
      <c r="A203"/>
      <c r="B203" s="9">
        <f t="shared" si="109"/>
        <v>7</v>
      </c>
      <c r="C203" s="13">
        <v>78</v>
      </c>
      <c r="D203" s="12">
        <f t="shared" si="99"/>
        <v>2404</v>
      </c>
      <c r="E203" s="6">
        <f>INDEX(GC!$G$25:$G$144,MATCH($D203,GC!$C$25:$C$144,0))</f>
        <v>0</v>
      </c>
      <c r="F203" s="6">
        <f>INDEX(GC!$I$25:$I$144,MATCH($D203,GC!$C$25:$C$144,0))</f>
        <v>0</v>
      </c>
      <c r="G203" s="6">
        <f t="shared" si="100"/>
        <v>0</v>
      </c>
      <c r="H203" s="6">
        <f t="shared" si="62"/>
        <v>0</v>
      </c>
      <c r="I203" s="6">
        <f t="shared" si="51"/>
        <v>0</v>
      </c>
      <c r="J203" s="6">
        <f>IF(SUM($I$126:I203)&gt;$E$61, SUM($I$126:I203)-SUM($J$125:J202)-$E$61,0)</f>
        <v>0</v>
      </c>
      <c r="K203" s="6" t="e">
        <f t="shared" si="63"/>
        <v>#DIV/0!</v>
      </c>
      <c r="L203" s="6" t="e">
        <f t="shared" si="64"/>
        <v>#DIV/0!</v>
      </c>
      <c r="M203" s="6" t="e">
        <f t="shared" si="65"/>
        <v>#DIV/0!</v>
      </c>
      <c r="N203" s="6">
        <f t="shared" si="66"/>
        <v>0</v>
      </c>
      <c r="O203" s="6">
        <f t="shared" si="67"/>
        <v>0</v>
      </c>
      <c r="P203" s="6">
        <f t="shared" si="68"/>
        <v>0</v>
      </c>
      <c r="Q203" s="6">
        <f t="shared" si="69"/>
        <v>0</v>
      </c>
      <c r="R203" s="6" t="e">
        <f t="shared" si="101"/>
        <v>#DIV/0!</v>
      </c>
      <c r="S203" s="6" t="e">
        <f t="shared" si="70"/>
        <v>#DIV/0!</v>
      </c>
      <c r="T203" s="11" t="e">
        <f>SUM($R$126:R203)/($E$87)</f>
        <v>#DIV/0!</v>
      </c>
      <c r="U203" s="89" t="e">
        <f t="shared" si="71"/>
        <v>#DIV/0!</v>
      </c>
      <c r="V203" s="6" t="e">
        <f t="shared" si="72"/>
        <v>#DIV/0!</v>
      </c>
      <c r="W203" s="6" t="e">
        <f t="shared" si="102"/>
        <v>#DIV/0!</v>
      </c>
      <c r="X203" s="6" t="e">
        <f t="shared" si="73"/>
        <v>#DIV/0!</v>
      </c>
      <c r="Y203" s="6" t="e">
        <f t="shared" si="74"/>
        <v>#DIV/0!</v>
      </c>
      <c r="Z203" s="90" t="e">
        <f t="shared" si="75"/>
        <v>#DIV/0!</v>
      </c>
      <c r="AA203" s="89" t="e">
        <f t="shared" si="76"/>
        <v>#DIV/0!</v>
      </c>
      <c r="AB203" s="6" t="e">
        <f t="shared" si="77"/>
        <v>#DIV/0!</v>
      </c>
      <c r="AC203" s="6" t="e">
        <f t="shared" si="78"/>
        <v>#NUM!</v>
      </c>
      <c r="AD203" s="90" t="e">
        <f t="shared" si="79"/>
        <v>#NUM!</v>
      </c>
      <c r="AE203" s="6" t="e">
        <f t="shared" si="80"/>
        <v>#DIV/0!</v>
      </c>
      <c r="AF203" s="6" t="e">
        <f>IF(SUM(AE204:$AE$245)-SUM(AJ204:$AK$245,AN204:$AN$245)&gt;$E$42,0,IF(SUM($AF$125:AF202)=0,$E$42-(SUM(AE204:$AE$245)-SUM(AJ204:$AK$245,AN204:$AN$245)),AE203-SUM(AJ203:AK203,AN203)))</f>
        <v>#DIV/0!</v>
      </c>
      <c r="AG203" s="89" t="e">
        <f t="shared" si="81"/>
        <v>#DIV/0!</v>
      </c>
      <c r="AH203" s="6" t="e">
        <f t="shared" si="103"/>
        <v>#DIV/0!</v>
      </c>
      <c r="AI203" s="6" t="e">
        <f t="shared" si="82"/>
        <v>#DIV/0!</v>
      </c>
      <c r="AJ203" s="6">
        <f t="shared" si="83"/>
        <v>0</v>
      </c>
      <c r="AK203" s="90">
        <f t="shared" si="84"/>
        <v>0</v>
      </c>
      <c r="AL203" s="6" t="e">
        <f t="shared" si="85"/>
        <v>#DIV/0!</v>
      </c>
      <c r="AM203" s="6" t="e">
        <f t="shared" si="104"/>
        <v>#NUM!</v>
      </c>
      <c r="AN203" s="6">
        <f t="shared" si="86"/>
        <v>0</v>
      </c>
      <c r="AO203" s="6" t="e">
        <f t="shared" si="87"/>
        <v>#DIV/0!</v>
      </c>
      <c r="AP203" s="15">
        <f>IFERROR(XIRR($AO$125:AO203,$D$125:D203),-100%)</f>
        <v>-1</v>
      </c>
      <c r="AQ203" s="129" t="e">
        <f t="shared" si="88"/>
        <v>#NUM!</v>
      </c>
      <c r="AR203" s="300">
        <v>0</v>
      </c>
      <c r="AS203" s="130" t="e">
        <f t="shared" si="89"/>
        <v>#DIV/0!</v>
      </c>
      <c r="AT203" s="10">
        <f>IFERROR(XIRR($AS$125:$AS203,$D$125:$D203),-100%)</f>
        <v>-1</v>
      </c>
      <c r="AU203" s="300">
        <v>0</v>
      </c>
      <c r="AV203" s="130" t="e">
        <f t="shared" si="90"/>
        <v>#DIV/0!</v>
      </c>
      <c r="AW203" s="131">
        <f>IFERROR(XIRR($AV$125:$AV203,$D$125:$D203),-100%)</f>
        <v>-1</v>
      </c>
      <c r="AX203" s="213">
        <f t="shared" si="105"/>
        <v>0</v>
      </c>
      <c r="AY203" s="200" t="e">
        <f t="shared" si="91"/>
        <v>#DIV/0!</v>
      </c>
      <c r="AZ203" s="159">
        <f t="shared" si="92"/>
        <v>0</v>
      </c>
      <c r="BA203" s="148" t="e">
        <f t="shared" si="106"/>
        <v>#NUM!</v>
      </c>
      <c r="BB203" s="6" t="e">
        <f t="shared" si="93"/>
        <v>#NUM!</v>
      </c>
      <c r="BC203" s="6" t="e">
        <f t="shared" si="94"/>
        <v>#NUM!</v>
      </c>
      <c r="BD203" s="149" t="e">
        <f t="shared" si="95"/>
        <v>#NUM!</v>
      </c>
      <c r="BE203" s="148" t="e">
        <f t="shared" si="107"/>
        <v>#NUM!</v>
      </c>
      <c r="BF203" s="6" t="e">
        <f t="shared" si="96"/>
        <v>#NUM!</v>
      </c>
      <c r="BG203" s="6" t="e">
        <f t="shared" si="97"/>
        <v>#DIV/0!</v>
      </c>
      <c r="BH203" s="6" t="e">
        <f t="shared" si="108"/>
        <v>#NUM!</v>
      </c>
      <c r="BI203" s="138" t="e">
        <f t="shared" si="98"/>
        <v>#DIV/0!</v>
      </c>
    </row>
    <row r="204" spans="1:61" x14ac:dyDescent="0.25">
      <c r="A204"/>
      <c r="B204" s="9">
        <f t="shared" si="109"/>
        <v>7</v>
      </c>
      <c r="C204" s="13">
        <v>79</v>
      </c>
      <c r="D204" s="12">
        <f t="shared" si="99"/>
        <v>2435</v>
      </c>
      <c r="E204" s="6">
        <f>INDEX(GC!$G$25:$G$144,MATCH($D204,GC!$C$25:$C$144,0))</f>
        <v>0</v>
      </c>
      <c r="F204" s="6">
        <f>INDEX(GC!$I$25:$I$144,MATCH($D204,GC!$C$25:$C$144,0))</f>
        <v>0</v>
      </c>
      <c r="G204" s="6">
        <f t="shared" si="100"/>
        <v>0</v>
      </c>
      <c r="H204" s="6">
        <f t="shared" si="62"/>
        <v>0</v>
      </c>
      <c r="I204" s="6">
        <f t="shared" si="51"/>
        <v>0</v>
      </c>
      <c r="J204" s="6">
        <f>IF(SUM($I$126:I204)&gt;$E$61, SUM($I$126:I204)-SUM($J$125:J203)-$E$61,0)</f>
        <v>0</v>
      </c>
      <c r="K204" s="6" t="e">
        <f t="shared" si="63"/>
        <v>#DIV/0!</v>
      </c>
      <c r="L204" s="6" t="e">
        <f t="shared" si="64"/>
        <v>#DIV/0!</v>
      </c>
      <c r="M204" s="6" t="e">
        <f t="shared" si="65"/>
        <v>#DIV/0!</v>
      </c>
      <c r="N204" s="6">
        <f t="shared" si="66"/>
        <v>0</v>
      </c>
      <c r="O204" s="6">
        <f t="shared" si="67"/>
        <v>0</v>
      </c>
      <c r="P204" s="6">
        <f t="shared" si="68"/>
        <v>0</v>
      </c>
      <c r="Q204" s="6">
        <f t="shared" si="69"/>
        <v>0</v>
      </c>
      <c r="R204" s="6" t="e">
        <f t="shared" si="101"/>
        <v>#DIV/0!</v>
      </c>
      <c r="S204" s="6" t="e">
        <f t="shared" si="70"/>
        <v>#DIV/0!</v>
      </c>
      <c r="T204" s="11" t="e">
        <f>SUM($R$126:R204)/($E$87)</f>
        <v>#DIV/0!</v>
      </c>
      <c r="U204" s="89" t="e">
        <f t="shared" si="71"/>
        <v>#DIV/0!</v>
      </c>
      <c r="V204" s="6" t="e">
        <f t="shared" si="72"/>
        <v>#DIV/0!</v>
      </c>
      <c r="W204" s="6" t="e">
        <f t="shared" si="102"/>
        <v>#DIV/0!</v>
      </c>
      <c r="X204" s="6" t="e">
        <f t="shared" si="73"/>
        <v>#DIV/0!</v>
      </c>
      <c r="Y204" s="6" t="e">
        <f t="shared" si="74"/>
        <v>#DIV/0!</v>
      </c>
      <c r="Z204" s="90" t="e">
        <f t="shared" si="75"/>
        <v>#DIV/0!</v>
      </c>
      <c r="AA204" s="89" t="e">
        <f t="shared" si="76"/>
        <v>#DIV/0!</v>
      </c>
      <c r="AB204" s="6" t="e">
        <f t="shared" si="77"/>
        <v>#DIV/0!</v>
      </c>
      <c r="AC204" s="6" t="e">
        <f t="shared" si="78"/>
        <v>#NUM!</v>
      </c>
      <c r="AD204" s="90" t="e">
        <f t="shared" si="79"/>
        <v>#NUM!</v>
      </c>
      <c r="AE204" s="6" t="e">
        <f t="shared" si="80"/>
        <v>#DIV/0!</v>
      </c>
      <c r="AF204" s="6" t="e">
        <f>IF(SUM(AE205:$AE$245)-SUM(AJ205:$AK$245,AN205:$AN$245)&gt;$E$42,0,IF(SUM($AF$125:AF203)=0,$E$42-(SUM(AE205:$AE$245)-SUM(AJ205:$AK$245,AN205:$AN$245)),AE204-SUM(AJ204:AK204,AN204)))</f>
        <v>#DIV/0!</v>
      </c>
      <c r="AG204" s="89" t="e">
        <f t="shared" si="81"/>
        <v>#DIV/0!</v>
      </c>
      <c r="AH204" s="6" t="e">
        <f t="shared" si="103"/>
        <v>#DIV/0!</v>
      </c>
      <c r="AI204" s="6" t="e">
        <f t="shared" si="82"/>
        <v>#DIV/0!</v>
      </c>
      <c r="AJ204" s="6">
        <f t="shared" si="83"/>
        <v>0</v>
      </c>
      <c r="AK204" s="90">
        <f t="shared" si="84"/>
        <v>0</v>
      </c>
      <c r="AL204" s="6" t="e">
        <f t="shared" si="85"/>
        <v>#DIV/0!</v>
      </c>
      <c r="AM204" s="6" t="e">
        <f t="shared" si="104"/>
        <v>#NUM!</v>
      </c>
      <c r="AN204" s="6">
        <f t="shared" si="86"/>
        <v>0</v>
      </c>
      <c r="AO204" s="6" t="e">
        <f t="shared" si="87"/>
        <v>#DIV/0!</v>
      </c>
      <c r="AP204" s="15">
        <f>IFERROR(XIRR($AO$125:AO204,$D$125:D204),-100%)</f>
        <v>-1</v>
      </c>
      <c r="AQ204" s="129" t="e">
        <f t="shared" si="88"/>
        <v>#NUM!</v>
      </c>
      <c r="AR204" s="300">
        <v>0</v>
      </c>
      <c r="AS204" s="130" t="e">
        <f t="shared" si="89"/>
        <v>#DIV/0!</v>
      </c>
      <c r="AT204" s="10">
        <f>IFERROR(XIRR($AS$125:$AS204,$D$125:$D204),-100%)</f>
        <v>-1</v>
      </c>
      <c r="AU204" s="300">
        <v>0</v>
      </c>
      <c r="AV204" s="130" t="e">
        <f t="shared" si="90"/>
        <v>#DIV/0!</v>
      </c>
      <c r="AW204" s="131">
        <f>IFERROR(XIRR($AV$125:$AV204,$D$125:$D204),-100%)</f>
        <v>-1</v>
      </c>
      <c r="AX204" s="213">
        <f t="shared" si="105"/>
        <v>0</v>
      </c>
      <c r="AY204" s="200" t="e">
        <f t="shared" si="91"/>
        <v>#DIV/0!</v>
      </c>
      <c r="AZ204" s="159">
        <f t="shared" si="92"/>
        <v>0</v>
      </c>
      <c r="BA204" s="148" t="e">
        <f t="shared" si="106"/>
        <v>#NUM!</v>
      </c>
      <c r="BB204" s="6" t="e">
        <f t="shared" si="93"/>
        <v>#NUM!</v>
      </c>
      <c r="BC204" s="6" t="e">
        <f t="shared" si="94"/>
        <v>#NUM!</v>
      </c>
      <c r="BD204" s="149" t="e">
        <f t="shared" si="95"/>
        <v>#NUM!</v>
      </c>
      <c r="BE204" s="148" t="e">
        <f t="shared" si="107"/>
        <v>#NUM!</v>
      </c>
      <c r="BF204" s="6" t="e">
        <f t="shared" si="96"/>
        <v>#NUM!</v>
      </c>
      <c r="BG204" s="6" t="e">
        <f t="shared" si="97"/>
        <v>#DIV/0!</v>
      </c>
      <c r="BH204" s="6" t="e">
        <f t="shared" si="108"/>
        <v>#NUM!</v>
      </c>
      <c r="BI204" s="138" t="e">
        <f t="shared" si="98"/>
        <v>#DIV/0!</v>
      </c>
    </row>
    <row r="205" spans="1:61" x14ac:dyDescent="0.25">
      <c r="A205"/>
      <c r="B205" s="9">
        <f t="shared" si="109"/>
        <v>7</v>
      </c>
      <c r="C205" s="13">
        <v>80</v>
      </c>
      <c r="D205" s="12">
        <f t="shared" si="99"/>
        <v>2465</v>
      </c>
      <c r="E205" s="6">
        <f>INDEX(GC!$G$25:$G$144,MATCH($D205,GC!$C$25:$C$144,0))</f>
        <v>0</v>
      </c>
      <c r="F205" s="6">
        <f>INDEX(GC!$I$25:$I$144,MATCH($D205,GC!$C$25:$C$144,0))</f>
        <v>0</v>
      </c>
      <c r="G205" s="6">
        <f t="shared" si="100"/>
        <v>0</v>
      </c>
      <c r="H205" s="6">
        <f t="shared" si="62"/>
        <v>0</v>
      </c>
      <c r="I205" s="6">
        <f t="shared" ref="I205:I245" si="110">H205*$E$25</f>
        <v>0</v>
      </c>
      <c r="J205" s="6">
        <f>IF(SUM($I$126:I205)&gt;$E$61, SUM($I$126:I205)-SUM($J$125:J204)-$E$61,0)</f>
        <v>0</v>
      </c>
      <c r="K205" s="6" t="e">
        <f t="shared" si="63"/>
        <v>#DIV/0!</v>
      </c>
      <c r="L205" s="6" t="e">
        <f t="shared" si="64"/>
        <v>#DIV/0!</v>
      </c>
      <c r="M205" s="6" t="e">
        <f t="shared" si="65"/>
        <v>#DIV/0!</v>
      </c>
      <c r="N205" s="6">
        <f t="shared" si="66"/>
        <v>0</v>
      </c>
      <c r="O205" s="6">
        <f t="shared" si="67"/>
        <v>0</v>
      </c>
      <c r="P205" s="6">
        <f t="shared" si="68"/>
        <v>0</v>
      </c>
      <c r="Q205" s="6">
        <f t="shared" si="69"/>
        <v>0</v>
      </c>
      <c r="R205" s="6" t="e">
        <f t="shared" si="101"/>
        <v>#DIV/0!</v>
      </c>
      <c r="S205" s="6" t="e">
        <f t="shared" si="70"/>
        <v>#DIV/0!</v>
      </c>
      <c r="T205" s="11" t="e">
        <f>SUM($R$126:R205)/($E$87)</f>
        <v>#DIV/0!</v>
      </c>
      <c r="U205" s="89" t="e">
        <f t="shared" si="71"/>
        <v>#DIV/0!</v>
      </c>
      <c r="V205" s="6" t="e">
        <f t="shared" si="72"/>
        <v>#DIV/0!</v>
      </c>
      <c r="W205" s="6" t="e">
        <f t="shared" si="102"/>
        <v>#DIV/0!</v>
      </c>
      <c r="X205" s="6" t="e">
        <f t="shared" si="73"/>
        <v>#DIV/0!</v>
      </c>
      <c r="Y205" s="6" t="e">
        <f t="shared" si="74"/>
        <v>#DIV/0!</v>
      </c>
      <c r="Z205" s="90" t="e">
        <f t="shared" si="75"/>
        <v>#DIV/0!</v>
      </c>
      <c r="AA205" s="89" t="e">
        <f t="shared" si="76"/>
        <v>#DIV/0!</v>
      </c>
      <c r="AB205" s="6" t="e">
        <f t="shared" si="77"/>
        <v>#DIV/0!</v>
      </c>
      <c r="AC205" s="6" t="e">
        <f t="shared" si="78"/>
        <v>#NUM!</v>
      </c>
      <c r="AD205" s="90" t="e">
        <f t="shared" si="79"/>
        <v>#NUM!</v>
      </c>
      <c r="AE205" s="6" t="e">
        <f t="shared" si="80"/>
        <v>#DIV/0!</v>
      </c>
      <c r="AF205" s="6" t="e">
        <f>IF(SUM(AE206:$AE$245)-SUM(AJ206:$AK$245,AN206:$AN$245)&gt;$E$42,0,IF(SUM($AF$125:AF204)=0,$E$42-(SUM(AE206:$AE$245)-SUM(AJ206:$AK$245,AN206:$AN$245)),AE205-SUM(AJ205:AK205,AN205)))</f>
        <v>#DIV/0!</v>
      </c>
      <c r="AG205" s="89" t="e">
        <f t="shared" si="81"/>
        <v>#DIV/0!</v>
      </c>
      <c r="AH205" s="6" t="e">
        <f t="shared" si="103"/>
        <v>#DIV/0!</v>
      </c>
      <c r="AI205" s="6" t="e">
        <f t="shared" si="82"/>
        <v>#DIV/0!</v>
      </c>
      <c r="AJ205" s="6">
        <f t="shared" si="83"/>
        <v>0</v>
      </c>
      <c r="AK205" s="90">
        <f t="shared" si="84"/>
        <v>0</v>
      </c>
      <c r="AL205" s="6" t="e">
        <f t="shared" si="85"/>
        <v>#DIV/0!</v>
      </c>
      <c r="AM205" s="6" t="e">
        <f t="shared" si="104"/>
        <v>#NUM!</v>
      </c>
      <c r="AN205" s="6">
        <f t="shared" si="86"/>
        <v>0</v>
      </c>
      <c r="AO205" s="6" t="e">
        <f t="shared" si="87"/>
        <v>#DIV/0!</v>
      </c>
      <c r="AP205" s="15">
        <f>IFERROR(XIRR($AO$125:AO205,$D$125:D205),-100%)</f>
        <v>-1</v>
      </c>
      <c r="AQ205" s="129" t="e">
        <f t="shared" si="88"/>
        <v>#NUM!</v>
      </c>
      <c r="AR205" s="300">
        <v>0</v>
      </c>
      <c r="AS205" s="130" t="e">
        <f t="shared" si="89"/>
        <v>#DIV/0!</v>
      </c>
      <c r="AT205" s="10">
        <f>IFERROR(XIRR($AS$125:$AS205,$D$125:$D205),-100%)</f>
        <v>-1</v>
      </c>
      <c r="AU205" s="300">
        <v>0</v>
      </c>
      <c r="AV205" s="130" t="e">
        <f t="shared" si="90"/>
        <v>#DIV/0!</v>
      </c>
      <c r="AW205" s="131">
        <f>IFERROR(XIRR($AV$125:$AV205,$D$125:$D205),-100%)</f>
        <v>-1</v>
      </c>
      <c r="AX205" s="213">
        <f t="shared" si="105"/>
        <v>0</v>
      </c>
      <c r="AY205" s="200" t="e">
        <f t="shared" si="91"/>
        <v>#DIV/0!</v>
      </c>
      <c r="AZ205" s="159">
        <f t="shared" si="92"/>
        <v>0</v>
      </c>
      <c r="BA205" s="148" t="e">
        <f t="shared" si="106"/>
        <v>#NUM!</v>
      </c>
      <c r="BB205" s="6" t="e">
        <f t="shared" si="93"/>
        <v>#NUM!</v>
      </c>
      <c r="BC205" s="6" t="e">
        <f t="shared" si="94"/>
        <v>#NUM!</v>
      </c>
      <c r="BD205" s="149" t="e">
        <f t="shared" si="95"/>
        <v>#NUM!</v>
      </c>
      <c r="BE205" s="148" t="e">
        <f t="shared" si="107"/>
        <v>#NUM!</v>
      </c>
      <c r="BF205" s="6" t="e">
        <f t="shared" si="96"/>
        <v>#NUM!</v>
      </c>
      <c r="BG205" s="6" t="e">
        <f t="shared" si="97"/>
        <v>#DIV/0!</v>
      </c>
      <c r="BH205" s="6" t="e">
        <f t="shared" si="108"/>
        <v>#NUM!</v>
      </c>
      <c r="BI205" s="138" t="e">
        <f t="shared" si="98"/>
        <v>#DIV/0!</v>
      </c>
    </row>
    <row r="206" spans="1:61" x14ac:dyDescent="0.25">
      <c r="A206"/>
      <c r="B206" s="9">
        <f t="shared" si="109"/>
        <v>7</v>
      </c>
      <c r="C206" s="13">
        <v>81</v>
      </c>
      <c r="D206" s="12">
        <f t="shared" si="99"/>
        <v>2496</v>
      </c>
      <c r="E206" s="6">
        <f>INDEX(GC!$G$25:$G$144,MATCH($D206,GC!$C$25:$C$144,0))</f>
        <v>0</v>
      </c>
      <c r="F206" s="6">
        <f>INDEX(GC!$I$25:$I$144,MATCH($D206,GC!$C$25:$C$144,0))</f>
        <v>0</v>
      </c>
      <c r="G206" s="6">
        <f t="shared" si="100"/>
        <v>0</v>
      </c>
      <c r="H206" s="6">
        <f t="shared" si="62"/>
        <v>0</v>
      </c>
      <c r="I206" s="6">
        <f t="shared" si="110"/>
        <v>0</v>
      </c>
      <c r="J206" s="6">
        <f>IF(SUM($I$126:I206)&gt;$E$61, SUM($I$126:I206)-SUM($J$125:J205)-$E$61,0)</f>
        <v>0</v>
      </c>
      <c r="K206" s="6" t="e">
        <f t="shared" si="63"/>
        <v>#DIV/0!</v>
      </c>
      <c r="L206" s="6" t="e">
        <f t="shared" si="64"/>
        <v>#DIV/0!</v>
      </c>
      <c r="M206" s="6" t="e">
        <f t="shared" si="65"/>
        <v>#DIV/0!</v>
      </c>
      <c r="N206" s="6">
        <f t="shared" si="66"/>
        <v>0</v>
      </c>
      <c r="O206" s="6">
        <f t="shared" si="67"/>
        <v>0</v>
      </c>
      <c r="P206" s="6">
        <f t="shared" si="68"/>
        <v>0</v>
      </c>
      <c r="Q206" s="6">
        <f t="shared" si="69"/>
        <v>0</v>
      </c>
      <c r="R206" s="6" t="e">
        <f t="shared" si="101"/>
        <v>#DIV/0!</v>
      </c>
      <c r="S206" s="6" t="e">
        <f t="shared" si="70"/>
        <v>#DIV/0!</v>
      </c>
      <c r="T206" s="11" t="e">
        <f>SUM($R$126:R206)/($E$87)</f>
        <v>#DIV/0!</v>
      </c>
      <c r="U206" s="89" t="e">
        <f t="shared" si="71"/>
        <v>#DIV/0!</v>
      </c>
      <c r="V206" s="6" t="e">
        <f t="shared" si="72"/>
        <v>#DIV/0!</v>
      </c>
      <c r="W206" s="6" t="e">
        <f t="shared" si="102"/>
        <v>#DIV/0!</v>
      </c>
      <c r="X206" s="6" t="e">
        <f t="shared" si="73"/>
        <v>#DIV/0!</v>
      </c>
      <c r="Y206" s="6" t="e">
        <f t="shared" si="74"/>
        <v>#DIV/0!</v>
      </c>
      <c r="Z206" s="90" t="e">
        <f t="shared" si="75"/>
        <v>#DIV/0!</v>
      </c>
      <c r="AA206" s="89" t="e">
        <f t="shared" si="76"/>
        <v>#DIV/0!</v>
      </c>
      <c r="AB206" s="6" t="e">
        <f t="shared" si="77"/>
        <v>#DIV/0!</v>
      </c>
      <c r="AC206" s="6" t="e">
        <f t="shared" si="78"/>
        <v>#NUM!</v>
      </c>
      <c r="AD206" s="90" t="e">
        <f t="shared" si="79"/>
        <v>#NUM!</v>
      </c>
      <c r="AE206" s="6" t="e">
        <f t="shared" si="80"/>
        <v>#DIV/0!</v>
      </c>
      <c r="AF206" s="6" t="e">
        <f>IF(SUM(AE207:$AE$245)-SUM(AJ207:$AK$245,AN207:$AN$245)&gt;$E$42,0,IF(SUM($AF$125:AF205)=0,$E$42-(SUM(AE207:$AE$245)-SUM(AJ207:$AK$245,AN207:$AN$245)),AE206-SUM(AJ206:AK206,AN206)))</f>
        <v>#DIV/0!</v>
      </c>
      <c r="AG206" s="89" t="e">
        <f t="shared" si="81"/>
        <v>#DIV/0!</v>
      </c>
      <c r="AH206" s="6" t="e">
        <f t="shared" si="103"/>
        <v>#DIV/0!</v>
      </c>
      <c r="AI206" s="6" t="e">
        <f t="shared" si="82"/>
        <v>#DIV/0!</v>
      </c>
      <c r="AJ206" s="6">
        <f t="shared" si="83"/>
        <v>0</v>
      </c>
      <c r="AK206" s="90">
        <f t="shared" si="84"/>
        <v>0</v>
      </c>
      <c r="AL206" s="6" t="e">
        <f t="shared" si="85"/>
        <v>#DIV/0!</v>
      </c>
      <c r="AM206" s="6" t="e">
        <f t="shared" si="104"/>
        <v>#NUM!</v>
      </c>
      <c r="AN206" s="6">
        <f t="shared" si="86"/>
        <v>0</v>
      </c>
      <c r="AO206" s="6" t="e">
        <f t="shared" si="87"/>
        <v>#DIV/0!</v>
      </c>
      <c r="AP206" s="15">
        <f>IFERROR(XIRR($AO$125:AO206,$D$125:D206),-100%)</f>
        <v>-1</v>
      </c>
      <c r="AQ206" s="129" t="e">
        <f t="shared" si="88"/>
        <v>#NUM!</v>
      </c>
      <c r="AR206" s="300">
        <v>0</v>
      </c>
      <c r="AS206" s="130" t="e">
        <f t="shared" si="89"/>
        <v>#DIV/0!</v>
      </c>
      <c r="AT206" s="10">
        <f>IFERROR(XIRR($AS$125:$AS206,$D$125:$D206),-100%)</f>
        <v>-1</v>
      </c>
      <c r="AU206" s="300">
        <v>0</v>
      </c>
      <c r="AV206" s="130" t="e">
        <f t="shared" si="90"/>
        <v>#DIV/0!</v>
      </c>
      <c r="AW206" s="131">
        <f>IFERROR(XIRR($AV$125:$AV206,$D$125:$D206),-100%)</f>
        <v>-1</v>
      </c>
      <c r="AX206" s="213">
        <f t="shared" si="105"/>
        <v>0</v>
      </c>
      <c r="AY206" s="200" t="e">
        <f t="shared" si="91"/>
        <v>#DIV/0!</v>
      </c>
      <c r="AZ206" s="159">
        <f t="shared" si="92"/>
        <v>0</v>
      </c>
      <c r="BA206" s="148" t="e">
        <f t="shared" si="106"/>
        <v>#NUM!</v>
      </c>
      <c r="BB206" s="6" t="e">
        <f t="shared" si="93"/>
        <v>#NUM!</v>
      </c>
      <c r="BC206" s="6" t="e">
        <f t="shared" si="94"/>
        <v>#NUM!</v>
      </c>
      <c r="BD206" s="149" t="e">
        <f t="shared" si="95"/>
        <v>#NUM!</v>
      </c>
      <c r="BE206" s="148" t="e">
        <f t="shared" si="107"/>
        <v>#NUM!</v>
      </c>
      <c r="BF206" s="6" t="e">
        <f t="shared" si="96"/>
        <v>#NUM!</v>
      </c>
      <c r="BG206" s="6" t="e">
        <f t="shared" si="97"/>
        <v>#DIV/0!</v>
      </c>
      <c r="BH206" s="6" t="e">
        <f t="shared" si="108"/>
        <v>#NUM!</v>
      </c>
      <c r="BI206" s="138" t="e">
        <f t="shared" si="98"/>
        <v>#DIV/0!</v>
      </c>
    </row>
    <row r="207" spans="1:61" x14ac:dyDescent="0.25">
      <c r="A207"/>
      <c r="B207" s="9">
        <f t="shared" si="109"/>
        <v>7</v>
      </c>
      <c r="C207" s="13">
        <v>82</v>
      </c>
      <c r="D207" s="12">
        <f t="shared" si="99"/>
        <v>2526</v>
      </c>
      <c r="E207" s="6">
        <f>INDEX(GC!$G$25:$G$144,MATCH($D207,GC!$C$25:$C$144,0))</f>
        <v>0</v>
      </c>
      <c r="F207" s="6">
        <f>INDEX(GC!$I$25:$I$144,MATCH($D207,GC!$C$25:$C$144,0))</f>
        <v>0</v>
      </c>
      <c r="G207" s="6">
        <f t="shared" si="100"/>
        <v>0</v>
      </c>
      <c r="H207" s="6">
        <f t="shared" si="62"/>
        <v>0</v>
      </c>
      <c r="I207" s="6">
        <f t="shared" si="110"/>
        <v>0</v>
      </c>
      <c r="J207" s="6">
        <f>IF(SUM($I$126:I207)&gt;$E$61, SUM($I$126:I207)-SUM($J$125:J206)-$E$61,0)</f>
        <v>0</v>
      </c>
      <c r="K207" s="6" t="e">
        <f t="shared" si="63"/>
        <v>#DIV/0!</v>
      </c>
      <c r="L207" s="6" t="e">
        <f t="shared" si="64"/>
        <v>#DIV/0!</v>
      </c>
      <c r="M207" s="6" t="e">
        <f t="shared" si="65"/>
        <v>#DIV/0!</v>
      </c>
      <c r="N207" s="6">
        <f t="shared" si="66"/>
        <v>0</v>
      </c>
      <c r="O207" s="6">
        <f t="shared" si="67"/>
        <v>0</v>
      </c>
      <c r="P207" s="6">
        <f t="shared" si="68"/>
        <v>0</v>
      </c>
      <c r="Q207" s="6">
        <f t="shared" si="69"/>
        <v>0</v>
      </c>
      <c r="R207" s="6" t="e">
        <f t="shared" si="101"/>
        <v>#DIV/0!</v>
      </c>
      <c r="S207" s="6" t="e">
        <f t="shared" si="70"/>
        <v>#DIV/0!</v>
      </c>
      <c r="T207" s="11" t="e">
        <f>SUM($R$126:R207)/($E$87)</f>
        <v>#DIV/0!</v>
      </c>
      <c r="U207" s="89" t="e">
        <f t="shared" si="71"/>
        <v>#DIV/0!</v>
      </c>
      <c r="V207" s="6" t="e">
        <f t="shared" si="72"/>
        <v>#DIV/0!</v>
      </c>
      <c r="W207" s="6" t="e">
        <f t="shared" si="102"/>
        <v>#DIV/0!</v>
      </c>
      <c r="X207" s="6" t="e">
        <f t="shared" si="73"/>
        <v>#DIV/0!</v>
      </c>
      <c r="Y207" s="6" t="e">
        <f t="shared" si="74"/>
        <v>#DIV/0!</v>
      </c>
      <c r="Z207" s="90" t="e">
        <f t="shared" si="75"/>
        <v>#DIV/0!</v>
      </c>
      <c r="AA207" s="89" t="e">
        <f t="shared" si="76"/>
        <v>#DIV/0!</v>
      </c>
      <c r="AB207" s="6" t="e">
        <f t="shared" si="77"/>
        <v>#DIV/0!</v>
      </c>
      <c r="AC207" s="6" t="e">
        <f t="shared" si="78"/>
        <v>#NUM!</v>
      </c>
      <c r="AD207" s="90" t="e">
        <f t="shared" si="79"/>
        <v>#NUM!</v>
      </c>
      <c r="AE207" s="6" t="e">
        <f t="shared" si="80"/>
        <v>#DIV/0!</v>
      </c>
      <c r="AF207" s="6" t="e">
        <f>IF(SUM(AE208:$AE$245)-SUM(AJ208:$AK$245,AN208:$AN$245)&gt;$E$42,0,IF(SUM($AF$125:AF206)=0,$E$42-(SUM(AE208:$AE$245)-SUM(AJ208:$AK$245,AN208:$AN$245)),AE207-SUM(AJ207:AK207,AN207)))</f>
        <v>#DIV/0!</v>
      </c>
      <c r="AG207" s="89" t="e">
        <f t="shared" si="81"/>
        <v>#DIV/0!</v>
      </c>
      <c r="AH207" s="6" t="e">
        <f t="shared" si="103"/>
        <v>#DIV/0!</v>
      </c>
      <c r="AI207" s="6" t="e">
        <f t="shared" si="82"/>
        <v>#DIV/0!</v>
      </c>
      <c r="AJ207" s="6">
        <f t="shared" si="83"/>
        <v>0</v>
      </c>
      <c r="AK207" s="90">
        <f t="shared" si="84"/>
        <v>0</v>
      </c>
      <c r="AL207" s="6" t="e">
        <f t="shared" si="85"/>
        <v>#DIV/0!</v>
      </c>
      <c r="AM207" s="6" t="e">
        <f t="shared" si="104"/>
        <v>#NUM!</v>
      </c>
      <c r="AN207" s="6">
        <f t="shared" si="86"/>
        <v>0</v>
      </c>
      <c r="AO207" s="6" t="e">
        <f t="shared" si="87"/>
        <v>#DIV/0!</v>
      </c>
      <c r="AP207" s="15">
        <f>IFERROR(XIRR($AO$125:AO207,$D$125:D207),-100%)</f>
        <v>-1</v>
      </c>
      <c r="AQ207" s="129" t="e">
        <f t="shared" si="88"/>
        <v>#NUM!</v>
      </c>
      <c r="AR207" s="300">
        <v>0</v>
      </c>
      <c r="AS207" s="130" t="e">
        <f t="shared" si="89"/>
        <v>#DIV/0!</v>
      </c>
      <c r="AT207" s="10">
        <f>IFERROR(XIRR($AS$125:$AS207,$D$125:$D207),-100%)</f>
        <v>-1</v>
      </c>
      <c r="AU207" s="300">
        <v>0</v>
      </c>
      <c r="AV207" s="130" t="e">
        <f t="shared" si="90"/>
        <v>#DIV/0!</v>
      </c>
      <c r="AW207" s="131">
        <f>IFERROR(XIRR($AV$125:$AV207,$D$125:$D207),-100%)</f>
        <v>-1</v>
      </c>
      <c r="AX207" s="213">
        <f t="shared" si="105"/>
        <v>0</v>
      </c>
      <c r="AY207" s="200" t="e">
        <f t="shared" si="91"/>
        <v>#DIV/0!</v>
      </c>
      <c r="AZ207" s="159">
        <f t="shared" si="92"/>
        <v>0</v>
      </c>
      <c r="BA207" s="148" t="e">
        <f t="shared" si="106"/>
        <v>#NUM!</v>
      </c>
      <c r="BB207" s="6" t="e">
        <f t="shared" si="93"/>
        <v>#NUM!</v>
      </c>
      <c r="BC207" s="6" t="e">
        <f t="shared" si="94"/>
        <v>#NUM!</v>
      </c>
      <c r="BD207" s="149" t="e">
        <f t="shared" si="95"/>
        <v>#NUM!</v>
      </c>
      <c r="BE207" s="148" t="e">
        <f t="shared" si="107"/>
        <v>#NUM!</v>
      </c>
      <c r="BF207" s="6" t="e">
        <f t="shared" si="96"/>
        <v>#NUM!</v>
      </c>
      <c r="BG207" s="6" t="e">
        <f t="shared" si="97"/>
        <v>#DIV/0!</v>
      </c>
      <c r="BH207" s="6" t="e">
        <f t="shared" si="108"/>
        <v>#NUM!</v>
      </c>
      <c r="BI207" s="138" t="e">
        <f t="shared" si="98"/>
        <v>#DIV/0!</v>
      </c>
    </row>
    <row r="208" spans="1:61" x14ac:dyDescent="0.25">
      <c r="A208"/>
      <c r="B208" s="9">
        <f t="shared" si="109"/>
        <v>7</v>
      </c>
      <c r="C208" s="13">
        <v>83</v>
      </c>
      <c r="D208" s="12">
        <f t="shared" si="99"/>
        <v>2557</v>
      </c>
      <c r="E208" s="6">
        <f>INDEX(GC!$G$25:$G$144,MATCH($D208,GC!$C$25:$C$144,0))</f>
        <v>0</v>
      </c>
      <c r="F208" s="6">
        <f>INDEX(GC!$I$25:$I$144,MATCH($D208,GC!$C$25:$C$144,0))</f>
        <v>0</v>
      </c>
      <c r="G208" s="6">
        <f t="shared" si="100"/>
        <v>0</v>
      </c>
      <c r="H208" s="6">
        <f t="shared" si="62"/>
        <v>0</v>
      </c>
      <c r="I208" s="6">
        <f t="shared" si="110"/>
        <v>0</v>
      </c>
      <c r="J208" s="6">
        <f>IF(SUM($I$126:I208)&gt;$E$61, SUM($I$126:I208)-SUM($J$125:J207)-$E$61,0)</f>
        <v>0</v>
      </c>
      <c r="K208" s="6" t="e">
        <f t="shared" si="63"/>
        <v>#DIV/0!</v>
      </c>
      <c r="L208" s="6" t="e">
        <f t="shared" si="64"/>
        <v>#DIV/0!</v>
      </c>
      <c r="M208" s="6" t="e">
        <f t="shared" si="65"/>
        <v>#DIV/0!</v>
      </c>
      <c r="N208" s="6">
        <f t="shared" si="66"/>
        <v>0</v>
      </c>
      <c r="O208" s="6">
        <f t="shared" si="67"/>
        <v>0</v>
      </c>
      <c r="P208" s="6">
        <f t="shared" si="68"/>
        <v>0</v>
      </c>
      <c r="Q208" s="6">
        <f t="shared" si="69"/>
        <v>0</v>
      </c>
      <c r="R208" s="6" t="e">
        <f t="shared" si="101"/>
        <v>#DIV/0!</v>
      </c>
      <c r="S208" s="6" t="e">
        <f t="shared" si="70"/>
        <v>#DIV/0!</v>
      </c>
      <c r="T208" s="11" t="e">
        <f>SUM($R$126:R208)/($E$87)</f>
        <v>#DIV/0!</v>
      </c>
      <c r="U208" s="89" t="e">
        <f t="shared" si="71"/>
        <v>#DIV/0!</v>
      </c>
      <c r="V208" s="6" t="e">
        <f t="shared" si="72"/>
        <v>#DIV/0!</v>
      </c>
      <c r="W208" s="6" t="e">
        <f t="shared" si="102"/>
        <v>#DIV/0!</v>
      </c>
      <c r="X208" s="6" t="e">
        <f t="shared" si="73"/>
        <v>#DIV/0!</v>
      </c>
      <c r="Y208" s="6" t="e">
        <f t="shared" si="74"/>
        <v>#DIV/0!</v>
      </c>
      <c r="Z208" s="90" t="e">
        <f t="shared" si="75"/>
        <v>#DIV/0!</v>
      </c>
      <c r="AA208" s="89" t="e">
        <f t="shared" si="76"/>
        <v>#DIV/0!</v>
      </c>
      <c r="AB208" s="6" t="e">
        <f t="shared" si="77"/>
        <v>#DIV/0!</v>
      </c>
      <c r="AC208" s="6" t="e">
        <f t="shared" si="78"/>
        <v>#NUM!</v>
      </c>
      <c r="AD208" s="90" t="e">
        <f t="shared" si="79"/>
        <v>#NUM!</v>
      </c>
      <c r="AE208" s="6" t="e">
        <f t="shared" si="80"/>
        <v>#DIV/0!</v>
      </c>
      <c r="AF208" s="6" t="e">
        <f>IF(SUM(AE209:$AE$245)-SUM(AJ209:$AK$245,AN209:$AN$245)&gt;$E$42,0,IF(SUM($AF$125:AF207)=0,$E$42-(SUM(AE209:$AE$245)-SUM(AJ209:$AK$245,AN209:$AN$245)),AE208-SUM(AJ208:AK208,AN208)))</f>
        <v>#DIV/0!</v>
      </c>
      <c r="AG208" s="89" t="e">
        <f t="shared" si="81"/>
        <v>#DIV/0!</v>
      </c>
      <c r="AH208" s="6" t="e">
        <f t="shared" si="103"/>
        <v>#DIV/0!</v>
      </c>
      <c r="AI208" s="6" t="e">
        <f t="shared" si="82"/>
        <v>#DIV/0!</v>
      </c>
      <c r="AJ208" s="6">
        <f t="shared" si="83"/>
        <v>0</v>
      </c>
      <c r="AK208" s="90">
        <f t="shared" si="84"/>
        <v>0</v>
      </c>
      <c r="AL208" s="6" t="e">
        <f t="shared" si="85"/>
        <v>#DIV/0!</v>
      </c>
      <c r="AM208" s="6" t="e">
        <f t="shared" si="104"/>
        <v>#NUM!</v>
      </c>
      <c r="AN208" s="6">
        <f t="shared" si="86"/>
        <v>0</v>
      </c>
      <c r="AO208" s="6" t="e">
        <f t="shared" si="87"/>
        <v>#DIV/0!</v>
      </c>
      <c r="AP208" s="15">
        <f>IFERROR(XIRR($AO$125:AO208,$D$125:D208),-100%)</f>
        <v>-1</v>
      </c>
      <c r="AQ208" s="129" t="e">
        <f t="shared" si="88"/>
        <v>#NUM!</v>
      </c>
      <c r="AR208" s="300">
        <v>0</v>
      </c>
      <c r="AS208" s="130" t="e">
        <f t="shared" si="89"/>
        <v>#DIV/0!</v>
      </c>
      <c r="AT208" s="10">
        <f>IFERROR(XIRR($AS$125:$AS208,$D$125:$D208),-100%)</f>
        <v>-1</v>
      </c>
      <c r="AU208" s="300">
        <v>0</v>
      </c>
      <c r="AV208" s="130" t="e">
        <f t="shared" si="90"/>
        <v>#DIV/0!</v>
      </c>
      <c r="AW208" s="131">
        <f>IFERROR(XIRR($AV$125:$AV208,$D$125:$D208),-100%)</f>
        <v>-1</v>
      </c>
      <c r="AX208" s="213">
        <f t="shared" si="105"/>
        <v>0</v>
      </c>
      <c r="AY208" s="200" t="e">
        <f t="shared" si="91"/>
        <v>#DIV/0!</v>
      </c>
      <c r="AZ208" s="159">
        <f t="shared" si="92"/>
        <v>0</v>
      </c>
      <c r="BA208" s="148" t="e">
        <f t="shared" si="106"/>
        <v>#NUM!</v>
      </c>
      <c r="BB208" s="6" t="e">
        <f t="shared" si="93"/>
        <v>#NUM!</v>
      </c>
      <c r="BC208" s="6" t="e">
        <f t="shared" si="94"/>
        <v>#NUM!</v>
      </c>
      <c r="BD208" s="149" t="e">
        <f t="shared" si="95"/>
        <v>#NUM!</v>
      </c>
      <c r="BE208" s="148" t="e">
        <f t="shared" si="107"/>
        <v>#NUM!</v>
      </c>
      <c r="BF208" s="6" t="e">
        <f t="shared" si="96"/>
        <v>#NUM!</v>
      </c>
      <c r="BG208" s="6" t="e">
        <f t="shared" si="97"/>
        <v>#DIV/0!</v>
      </c>
      <c r="BH208" s="6" t="e">
        <f t="shared" si="108"/>
        <v>#NUM!</v>
      </c>
      <c r="BI208" s="138" t="e">
        <f t="shared" si="98"/>
        <v>#DIV/0!</v>
      </c>
    </row>
    <row r="209" spans="1:61" x14ac:dyDescent="0.25">
      <c r="A209"/>
      <c r="B209" s="9">
        <f t="shared" si="109"/>
        <v>7</v>
      </c>
      <c r="C209" s="13">
        <v>84</v>
      </c>
      <c r="D209" s="12">
        <f t="shared" si="99"/>
        <v>2588</v>
      </c>
      <c r="E209" s="6">
        <f>INDEX(GC!$G$25:$G$144,MATCH($D209,GC!$C$25:$C$144,0))</f>
        <v>0</v>
      </c>
      <c r="F209" s="6">
        <f>INDEX(GC!$I$25:$I$144,MATCH($D209,GC!$C$25:$C$144,0))</f>
        <v>0</v>
      </c>
      <c r="G209" s="6">
        <f t="shared" si="100"/>
        <v>0</v>
      </c>
      <c r="H209" s="6">
        <f t="shared" si="62"/>
        <v>0</v>
      </c>
      <c r="I209" s="6">
        <f t="shared" si="110"/>
        <v>0</v>
      </c>
      <c r="J209" s="6">
        <f>IF(SUM($I$126:I209)&gt;$E$61, SUM($I$126:I209)-SUM($J$125:J208)-$E$61,0)</f>
        <v>0</v>
      </c>
      <c r="K209" s="6" t="e">
        <f t="shared" si="63"/>
        <v>#DIV/0!</v>
      </c>
      <c r="L209" s="6" t="e">
        <f t="shared" si="64"/>
        <v>#DIV/0!</v>
      </c>
      <c r="M209" s="6" t="e">
        <f t="shared" si="65"/>
        <v>#DIV/0!</v>
      </c>
      <c r="N209" s="6">
        <f t="shared" si="66"/>
        <v>0</v>
      </c>
      <c r="O209" s="6">
        <f t="shared" si="67"/>
        <v>0</v>
      </c>
      <c r="P209" s="6">
        <f t="shared" si="68"/>
        <v>0</v>
      </c>
      <c r="Q209" s="6">
        <f t="shared" si="69"/>
        <v>0</v>
      </c>
      <c r="R209" s="6" t="e">
        <f t="shared" si="101"/>
        <v>#DIV/0!</v>
      </c>
      <c r="S209" s="6" t="e">
        <f t="shared" si="70"/>
        <v>#DIV/0!</v>
      </c>
      <c r="T209" s="11" t="e">
        <f>SUM($R$126:R209)/($E$87)</f>
        <v>#DIV/0!</v>
      </c>
      <c r="U209" s="89" t="e">
        <f t="shared" si="71"/>
        <v>#DIV/0!</v>
      </c>
      <c r="V209" s="6" t="e">
        <f t="shared" si="72"/>
        <v>#DIV/0!</v>
      </c>
      <c r="W209" s="6" t="e">
        <f t="shared" si="102"/>
        <v>#DIV/0!</v>
      </c>
      <c r="X209" s="6" t="e">
        <f t="shared" si="73"/>
        <v>#DIV/0!</v>
      </c>
      <c r="Y209" s="6" t="e">
        <f t="shared" si="74"/>
        <v>#DIV/0!</v>
      </c>
      <c r="Z209" s="90" t="e">
        <f t="shared" si="75"/>
        <v>#DIV/0!</v>
      </c>
      <c r="AA209" s="89" t="e">
        <f t="shared" si="76"/>
        <v>#DIV/0!</v>
      </c>
      <c r="AB209" s="6" t="e">
        <f t="shared" si="77"/>
        <v>#DIV/0!</v>
      </c>
      <c r="AC209" s="6" t="e">
        <f t="shared" si="78"/>
        <v>#NUM!</v>
      </c>
      <c r="AD209" s="90" t="e">
        <f t="shared" si="79"/>
        <v>#NUM!</v>
      </c>
      <c r="AE209" s="6" t="e">
        <f t="shared" si="80"/>
        <v>#DIV/0!</v>
      </c>
      <c r="AF209" s="6" t="e">
        <f>IF(SUM(AE210:$AE$245)-SUM(AJ210:$AK$245,AN210:$AN$245)&gt;$E$42,0,IF(SUM($AF$125:AF208)=0,$E$42-(SUM(AE210:$AE$245)-SUM(AJ210:$AK$245,AN210:$AN$245)),AE209-SUM(AJ209:AK209,AN209)))</f>
        <v>#DIV/0!</v>
      </c>
      <c r="AG209" s="89" t="e">
        <f t="shared" si="81"/>
        <v>#DIV/0!</v>
      </c>
      <c r="AH209" s="6" t="e">
        <f t="shared" si="103"/>
        <v>#DIV/0!</v>
      </c>
      <c r="AI209" s="6" t="e">
        <f t="shared" si="82"/>
        <v>#DIV/0!</v>
      </c>
      <c r="AJ209" s="6">
        <f t="shared" si="83"/>
        <v>0</v>
      </c>
      <c r="AK209" s="90">
        <f t="shared" si="84"/>
        <v>0</v>
      </c>
      <c r="AL209" s="6" t="e">
        <f t="shared" si="85"/>
        <v>#DIV/0!</v>
      </c>
      <c r="AM209" s="6" t="e">
        <f t="shared" si="104"/>
        <v>#NUM!</v>
      </c>
      <c r="AN209" s="6">
        <f t="shared" si="86"/>
        <v>0</v>
      </c>
      <c r="AO209" s="6" t="e">
        <f t="shared" si="87"/>
        <v>#DIV/0!</v>
      </c>
      <c r="AP209" s="15">
        <f>IFERROR(XIRR($AO$125:AO209,$D$125:D209),-100%)</f>
        <v>-1</v>
      </c>
      <c r="AQ209" s="129" t="e">
        <f t="shared" si="88"/>
        <v>#NUM!</v>
      </c>
      <c r="AR209" s="300">
        <v>0</v>
      </c>
      <c r="AS209" s="130" t="e">
        <f t="shared" si="89"/>
        <v>#DIV/0!</v>
      </c>
      <c r="AT209" s="10">
        <f>IFERROR(XIRR($AS$125:$AS209,$D$125:$D209),-100%)</f>
        <v>-1</v>
      </c>
      <c r="AU209" s="300">
        <v>0</v>
      </c>
      <c r="AV209" s="130" t="e">
        <f t="shared" si="90"/>
        <v>#DIV/0!</v>
      </c>
      <c r="AW209" s="131">
        <f>IFERROR(XIRR($AV$125:$AV209,$D$125:$D209),-100%)</f>
        <v>-1</v>
      </c>
      <c r="AX209" s="213">
        <f t="shared" si="105"/>
        <v>0</v>
      </c>
      <c r="AY209" s="200" t="e">
        <f t="shared" si="91"/>
        <v>#DIV/0!</v>
      </c>
      <c r="AZ209" s="159">
        <f t="shared" si="92"/>
        <v>0</v>
      </c>
      <c r="BA209" s="148" t="e">
        <f t="shared" si="106"/>
        <v>#NUM!</v>
      </c>
      <c r="BB209" s="6" t="e">
        <f t="shared" si="93"/>
        <v>#NUM!</v>
      </c>
      <c r="BC209" s="6" t="e">
        <f t="shared" si="94"/>
        <v>#NUM!</v>
      </c>
      <c r="BD209" s="149" t="e">
        <f t="shared" si="95"/>
        <v>#NUM!</v>
      </c>
      <c r="BE209" s="148" t="e">
        <f t="shared" si="107"/>
        <v>#NUM!</v>
      </c>
      <c r="BF209" s="6" t="e">
        <f t="shared" si="96"/>
        <v>#NUM!</v>
      </c>
      <c r="BG209" s="6" t="e">
        <f t="shared" si="97"/>
        <v>#DIV/0!</v>
      </c>
      <c r="BH209" s="6" t="e">
        <f t="shared" si="108"/>
        <v>#NUM!</v>
      </c>
      <c r="BI209" s="138" t="e">
        <f t="shared" si="98"/>
        <v>#DIV/0!</v>
      </c>
    </row>
    <row r="210" spans="1:61" x14ac:dyDescent="0.25">
      <c r="A210"/>
      <c r="B210" s="9">
        <f t="shared" si="109"/>
        <v>8</v>
      </c>
      <c r="C210" s="13">
        <v>85</v>
      </c>
      <c r="D210" s="12">
        <f t="shared" si="99"/>
        <v>2616</v>
      </c>
      <c r="E210" s="6">
        <f>INDEX(GC!$G$25:$G$144,MATCH($D210,GC!$C$25:$C$144,0))</f>
        <v>0</v>
      </c>
      <c r="F210" s="6">
        <f>INDEX(GC!$I$25:$I$144,MATCH($D210,GC!$C$25:$C$144,0))</f>
        <v>0</v>
      </c>
      <c r="G210" s="6">
        <f t="shared" si="100"/>
        <v>0</v>
      </c>
      <c r="H210" s="6">
        <f t="shared" si="62"/>
        <v>0</v>
      </c>
      <c r="I210" s="6">
        <f t="shared" si="110"/>
        <v>0</v>
      </c>
      <c r="J210" s="6">
        <f>IF(SUM($I$126:I210)&gt;$E$61, SUM($I$126:I210)-SUM($J$125:J209)-$E$61,0)</f>
        <v>0</v>
      </c>
      <c r="K210" s="6" t="e">
        <f t="shared" si="63"/>
        <v>#DIV/0!</v>
      </c>
      <c r="L210" s="6" t="e">
        <f t="shared" si="64"/>
        <v>#DIV/0!</v>
      </c>
      <c r="M210" s="6" t="e">
        <f t="shared" si="65"/>
        <v>#DIV/0!</v>
      </c>
      <c r="N210" s="6">
        <f t="shared" si="66"/>
        <v>0</v>
      </c>
      <c r="O210" s="6">
        <f t="shared" si="67"/>
        <v>0</v>
      </c>
      <c r="P210" s="6">
        <f t="shared" si="68"/>
        <v>0</v>
      </c>
      <c r="Q210" s="6">
        <f t="shared" si="69"/>
        <v>0</v>
      </c>
      <c r="R210" s="6" t="e">
        <f t="shared" si="101"/>
        <v>#DIV/0!</v>
      </c>
      <c r="S210" s="6" t="e">
        <f t="shared" si="70"/>
        <v>#DIV/0!</v>
      </c>
      <c r="T210" s="11" t="e">
        <f>SUM($R$126:R210)/($E$87)</f>
        <v>#DIV/0!</v>
      </c>
      <c r="U210" s="89" t="e">
        <f t="shared" si="71"/>
        <v>#DIV/0!</v>
      </c>
      <c r="V210" s="6" t="e">
        <f t="shared" si="72"/>
        <v>#DIV/0!</v>
      </c>
      <c r="W210" s="6" t="e">
        <f t="shared" si="102"/>
        <v>#DIV/0!</v>
      </c>
      <c r="X210" s="6" t="e">
        <f t="shared" si="73"/>
        <v>#DIV/0!</v>
      </c>
      <c r="Y210" s="6" t="e">
        <f t="shared" si="74"/>
        <v>#DIV/0!</v>
      </c>
      <c r="Z210" s="90" t="e">
        <f t="shared" si="75"/>
        <v>#DIV/0!</v>
      </c>
      <c r="AA210" s="89" t="e">
        <f t="shared" si="76"/>
        <v>#DIV/0!</v>
      </c>
      <c r="AB210" s="6" t="e">
        <f t="shared" si="77"/>
        <v>#DIV/0!</v>
      </c>
      <c r="AC210" s="6" t="e">
        <f t="shared" si="78"/>
        <v>#NUM!</v>
      </c>
      <c r="AD210" s="90" t="e">
        <f t="shared" si="79"/>
        <v>#NUM!</v>
      </c>
      <c r="AE210" s="6" t="e">
        <f t="shared" si="80"/>
        <v>#DIV/0!</v>
      </c>
      <c r="AF210" s="6" t="e">
        <f>IF(SUM(AE211:$AE$245)-SUM(AJ211:$AK$245,AN211:$AN$245)&gt;$E$42,0,IF(SUM($AF$125:AF209)=0,$E$42-(SUM(AE211:$AE$245)-SUM(AJ211:$AK$245,AN211:$AN$245)),AE210-SUM(AJ210:AK210,AN210)))</f>
        <v>#DIV/0!</v>
      </c>
      <c r="AG210" s="89" t="e">
        <f t="shared" si="81"/>
        <v>#DIV/0!</v>
      </c>
      <c r="AH210" s="6" t="e">
        <f t="shared" si="103"/>
        <v>#DIV/0!</v>
      </c>
      <c r="AI210" s="6" t="e">
        <f t="shared" si="82"/>
        <v>#DIV/0!</v>
      </c>
      <c r="AJ210" s="6">
        <f t="shared" si="83"/>
        <v>0</v>
      </c>
      <c r="AK210" s="90">
        <f t="shared" si="84"/>
        <v>0</v>
      </c>
      <c r="AL210" s="6" t="e">
        <f t="shared" si="85"/>
        <v>#DIV/0!</v>
      </c>
      <c r="AM210" s="6" t="e">
        <f t="shared" si="104"/>
        <v>#NUM!</v>
      </c>
      <c r="AN210" s="6">
        <f t="shared" si="86"/>
        <v>0</v>
      </c>
      <c r="AO210" s="6" t="e">
        <f t="shared" si="87"/>
        <v>#DIV/0!</v>
      </c>
      <c r="AP210" s="15">
        <f>IFERROR(XIRR($AO$125:AO210,$D$125:D210),-100%)</f>
        <v>-1</v>
      </c>
      <c r="AQ210" s="129" t="e">
        <f t="shared" si="88"/>
        <v>#NUM!</v>
      </c>
      <c r="AR210" s="300">
        <v>0</v>
      </c>
      <c r="AS210" s="130" t="e">
        <f t="shared" si="89"/>
        <v>#DIV/0!</v>
      </c>
      <c r="AT210" s="10">
        <f>IFERROR(XIRR($AS$125:$AS210,$D$125:$D210),-100%)</f>
        <v>-1</v>
      </c>
      <c r="AU210" s="300">
        <v>0</v>
      </c>
      <c r="AV210" s="130" t="e">
        <f t="shared" si="90"/>
        <v>#DIV/0!</v>
      </c>
      <c r="AW210" s="131">
        <f>IFERROR(XIRR($AV$125:$AV210,$D$125:$D210),-100%)</f>
        <v>-1</v>
      </c>
      <c r="AX210" s="213">
        <f t="shared" si="105"/>
        <v>0</v>
      </c>
      <c r="AY210" s="200" t="e">
        <f t="shared" si="91"/>
        <v>#DIV/0!</v>
      </c>
      <c r="AZ210" s="159">
        <f t="shared" si="92"/>
        <v>0</v>
      </c>
      <c r="BA210" s="148" t="e">
        <f t="shared" si="106"/>
        <v>#NUM!</v>
      </c>
      <c r="BB210" s="6" t="e">
        <f t="shared" si="93"/>
        <v>#NUM!</v>
      </c>
      <c r="BC210" s="6" t="e">
        <f t="shared" si="94"/>
        <v>#NUM!</v>
      </c>
      <c r="BD210" s="149" t="e">
        <f t="shared" si="95"/>
        <v>#NUM!</v>
      </c>
      <c r="BE210" s="148" t="e">
        <f t="shared" si="107"/>
        <v>#NUM!</v>
      </c>
      <c r="BF210" s="6" t="e">
        <f t="shared" si="96"/>
        <v>#NUM!</v>
      </c>
      <c r="BG210" s="6" t="e">
        <f t="shared" si="97"/>
        <v>#DIV/0!</v>
      </c>
      <c r="BH210" s="6" t="e">
        <f t="shared" si="108"/>
        <v>#NUM!</v>
      </c>
      <c r="BI210" s="138" t="e">
        <f t="shared" si="98"/>
        <v>#DIV/0!</v>
      </c>
    </row>
    <row r="211" spans="1:61" x14ac:dyDescent="0.25">
      <c r="A211"/>
      <c r="B211" s="9">
        <f t="shared" si="109"/>
        <v>8</v>
      </c>
      <c r="C211" s="13">
        <v>86</v>
      </c>
      <c r="D211" s="12">
        <f t="shared" si="99"/>
        <v>2647</v>
      </c>
      <c r="E211" s="6">
        <f>INDEX(GC!$G$25:$G$144,MATCH($D211,GC!$C$25:$C$144,0))</f>
        <v>0</v>
      </c>
      <c r="F211" s="6">
        <f>INDEX(GC!$I$25:$I$144,MATCH($D211,GC!$C$25:$C$144,0))</f>
        <v>0</v>
      </c>
      <c r="G211" s="6">
        <f t="shared" si="100"/>
        <v>0</v>
      </c>
      <c r="H211" s="6">
        <f t="shared" si="62"/>
        <v>0</v>
      </c>
      <c r="I211" s="6">
        <f t="shared" si="110"/>
        <v>0</v>
      </c>
      <c r="J211" s="6">
        <f>IF(SUM($I$126:I211)&gt;$E$61, SUM($I$126:I211)-SUM($J$125:J210)-$E$61,0)</f>
        <v>0</v>
      </c>
      <c r="K211" s="6" t="e">
        <f t="shared" si="63"/>
        <v>#DIV/0!</v>
      </c>
      <c r="L211" s="6" t="e">
        <f t="shared" si="64"/>
        <v>#DIV/0!</v>
      </c>
      <c r="M211" s="6" t="e">
        <f t="shared" si="65"/>
        <v>#DIV/0!</v>
      </c>
      <c r="N211" s="6">
        <f t="shared" si="66"/>
        <v>0</v>
      </c>
      <c r="O211" s="6">
        <f t="shared" si="67"/>
        <v>0</v>
      </c>
      <c r="P211" s="6">
        <f t="shared" si="68"/>
        <v>0</v>
      </c>
      <c r="Q211" s="6">
        <f t="shared" si="69"/>
        <v>0</v>
      </c>
      <c r="R211" s="6" t="e">
        <f t="shared" si="101"/>
        <v>#DIV/0!</v>
      </c>
      <c r="S211" s="6" t="e">
        <f t="shared" si="70"/>
        <v>#DIV/0!</v>
      </c>
      <c r="T211" s="11" t="e">
        <f>SUM($R$126:R211)/($E$87)</f>
        <v>#DIV/0!</v>
      </c>
      <c r="U211" s="89" t="e">
        <f t="shared" si="71"/>
        <v>#DIV/0!</v>
      </c>
      <c r="V211" s="6" t="e">
        <f t="shared" si="72"/>
        <v>#DIV/0!</v>
      </c>
      <c r="W211" s="6" t="e">
        <f t="shared" si="102"/>
        <v>#DIV/0!</v>
      </c>
      <c r="X211" s="6" t="e">
        <f t="shared" si="73"/>
        <v>#DIV/0!</v>
      </c>
      <c r="Y211" s="6" t="e">
        <f t="shared" si="74"/>
        <v>#DIV/0!</v>
      </c>
      <c r="Z211" s="90" t="e">
        <f t="shared" si="75"/>
        <v>#DIV/0!</v>
      </c>
      <c r="AA211" s="89" t="e">
        <f t="shared" si="76"/>
        <v>#DIV/0!</v>
      </c>
      <c r="AB211" s="6" t="e">
        <f t="shared" si="77"/>
        <v>#DIV/0!</v>
      </c>
      <c r="AC211" s="6" t="e">
        <f t="shared" si="78"/>
        <v>#NUM!</v>
      </c>
      <c r="AD211" s="90" t="e">
        <f t="shared" si="79"/>
        <v>#NUM!</v>
      </c>
      <c r="AE211" s="6" t="e">
        <f t="shared" si="80"/>
        <v>#DIV/0!</v>
      </c>
      <c r="AF211" s="6" t="e">
        <f>IF(SUM(AE212:$AE$245)-SUM(AJ212:$AK$245,AN212:$AN$245)&gt;$E$42,0,IF(SUM($AF$125:AF210)=0,$E$42-(SUM(AE212:$AE$245)-SUM(AJ212:$AK$245,AN212:$AN$245)),AE211-SUM(AJ211:AK211,AN211)))</f>
        <v>#DIV/0!</v>
      </c>
      <c r="AG211" s="89" t="e">
        <f t="shared" si="81"/>
        <v>#DIV/0!</v>
      </c>
      <c r="AH211" s="6" t="e">
        <f t="shared" si="103"/>
        <v>#DIV/0!</v>
      </c>
      <c r="AI211" s="6" t="e">
        <f t="shared" si="82"/>
        <v>#DIV/0!</v>
      </c>
      <c r="AJ211" s="6">
        <f t="shared" si="83"/>
        <v>0</v>
      </c>
      <c r="AK211" s="90">
        <f t="shared" si="84"/>
        <v>0</v>
      </c>
      <c r="AL211" s="6" t="e">
        <f t="shared" si="85"/>
        <v>#DIV/0!</v>
      </c>
      <c r="AM211" s="6" t="e">
        <f t="shared" si="104"/>
        <v>#NUM!</v>
      </c>
      <c r="AN211" s="6">
        <f t="shared" si="86"/>
        <v>0</v>
      </c>
      <c r="AO211" s="6" t="e">
        <f t="shared" si="87"/>
        <v>#DIV/0!</v>
      </c>
      <c r="AP211" s="15">
        <f>IFERROR(XIRR($AO$125:AO211,$D$125:D211),-100%)</f>
        <v>-1</v>
      </c>
      <c r="AQ211" s="129" t="e">
        <f t="shared" si="88"/>
        <v>#NUM!</v>
      </c>
      <c r="AR211" s="300">
        <v>0</v>
      </c>
      <c r="AS211" s="130" t="e">
        <f t="shared" si="89"/>
        <v>#DIV/0!</v>
      </c>
      <c r="AT211" s="10">
        <f>IFERROR(XIRR($AS$125:$AS211,$D$125:$D211),-100%)</f>
        <v>-1</v>
      </c>
      <c r="AU211" s="300">
        <v>0</v>
      </c>
      <c r="AV211" s="130" t="e">
        <f t="shared" si="90"/>
        <v>#DIV/0!</v>
      </c>
      <c r="AW211" s="131">
        <f>IFERROR(XIRR($AV$125:$AV211,$D$125:$D211),-100%)</f>
        <v>-1</v>
      </c>
      <c r="AX211" s="213">
        <f t="shared" si="105"/>
        <v>0</v>
      </c>
      <c r="AY211" s="200" t="e">
        <f t="shared" si="91"/>
        <v>#DIV/0!</v>
      </c>
      <c r="AZ211" s="159">
        <f t="shared" si="92"/>
        <v>0</v>
      </c>
      <c r="BA211" s="148" t="e">
        <f t="shared" si="106"/>
        <v>#NUM!</v>
      </c>
      <c r="BB211" s="6" t="e">
        <f t="shared" si="93"/>
        <v>#NUM!</v>
      </c>
      <c r="BC211" s="6" t="e">
        <f t="shared" si="94"/>
        <v>#NUM!</v>
      </c>
      <c r="BD211" s="149" t="e">
        <f t="shared" si="95"/>
        <v>#NUM!</v>
      </c>
      <c r="BE211" s="148" t="e">
        <f t="shared" si="107"/>
        <v>#NUM!</v>
      </c>
      <c r="BF211" s="6" t="e">
        <f t="shared" si="96"/>
        <v>#NUM!</v>
      </c>
      <c r="BG211" s="6" t="e">
        <f t="shared" si="97"/>
        <v>#DIV/0!</v>
      </c>
      <c r="BH211" s="6" t="e">
        <f t="shared" si="108"/>
        <v>#NUM!</v>
      </c>
      <c r="BI211" s="138" t="e">
        <f t="shared" si="98"/>
        <v>#DIV/0!</v>
      </c>
    </row>
    <row r="212" spans="1:61" x14ac:dyDescent="0.25">
      <c r="A212"/>
      <c r="B212" s="9">
        <f t="shared" si="109"/>
        <v>8</v>
      </c>
      <c r="C212" s="13">
        <v>87</v>
      </c>
      <c r="D212" s="12">
        <f t="shared" si="99"/>
        <v>2677</v>
      </c>
      <c r="E212" s="6">
        <f>INDEX(GC!$G$25:$G$144,MATCH($D212,GC!$C$25:$C$144,0))</f>
        <v>0</v>
      </c>
      <c r="F212" s="6">
        <f>INDEX(GC!$I$25:$I$144,MATCH($D212,GC!$C$25:$C$144,0))</f>
        <v>0</v>
      </c>
      <c r="G212" s="6">
        <f t="shared" si="100"/>
        <v>0</v>
      </c>
      <c r="H212" s="6">
        <f t="shared" si="62"/>
        <v>0</v>
      </c>
      <c r="I212" s="6">
        <f t="shared" si="110"/>
        <v>0</v>
      </c>
      <c r="J212" s="6">
        <f>IF(SUM($I$126:I212)&gt;$E$61, SUM($I$126:I212)-SUM($J$125:J211)-$E$61,0)</f>
        <v>0</v>
      </c>
      <c r="K212" s="6" t="e">
        <f t="shared" si="63"/>
        <v>#DIV/0!</v>
      </c>
      <c r="L212" s="6" t="e">
        <f t="shared" si="64"/>
        <v>#DIV/0!</v>
      </c>
      <c r="M212" s="6" t="e">
        <f t="shared" si="65"/>
        <v>#DIV/0!</v>
      </c>
      <c r="N212" s="6">
        <f t="shared" si="66"/>
        <v>0</v>
      </c>
      <c r="O212" s="6">
        <f t="shared" si="67"/>
        <v>0</v>
      </c>
      <c r="P212" s="6">
        <f t="shared" si="68"/>
        <v>0</v>
      </c>
      <c r="Q212" s="6">
        <f t="shared" si="69"/>
        <v>0</v>
      </c>
      <c r="R212" s="6" t="e">
        <f t="shared" si="101"/>
        <v>#DIV/0!</v>
      </c>
      <c r="S212" s="6" t="e">
        <f t="shared" si="70"/>
        <v>#DIV/0!</v>
      </c>
      <c r="T212" s="11" t="e">
        <f>SUM($R$126:R212)/($E$87)</f>
        <v>#DIV/0!</v>
      </c>
      <c r="U212" s="89" t="e">
        <f t="shared" si="71"/>
        <v>#DIV/0!</v>
      </c>
      <c r="V212" s="6" t="e">
        <f t="shared" si="72"/>
        <v>#DIV/0!</v>
      </c>
      <c r="W212" s="6" t="e">
        <f t="shared" si="102"/>
        <v>#DIV/0!</v>
      </c>
      <c r="X212" s="6" t="e">
        <f t="shared" si="73"/>
        <v>#DIV/0!</v>
      </c>
      <c r="Y212" s="6" t="e">
        <f t="shared" si="74"/>
        <v>#DIV/0!</v>
      </c>
      <c r="Z212" s="90" t="e">
        <f t="shared" si="75"/>
        <v>#DIV/0!</v>
      </c>
      <c r="AA212" s="89" t="e">
        <f t="shared" si="76"/>
        <v>#DIV/0!</v>
      </c>
      <c r="AB212" s="6" t="e">
        <f t="shared" si="77"/>
        <v>#DIV/0!</v>
      </c>
      <c r="AC212" s="6" t="e">
        <f t="shared" si="78"/>
        <v>#NUM!</v>
      </c>
      <c r="AD212" s="90" t="e">
        <f t="shared" si="79"/>
        <v>#NUM!</v>
      </c>
      <c r="AE212" s="6" t="e">
        <f t="shared" si="80"/>
        <v>#DIV/0!</v>
      </c>
      <c r="AF212" s="6" t="e">
        <f>IF(SUM(AE213:$AE$245)-SUM(AJ213:$AK$245,AN213:$AN$245)&gt;$E$42,0,IF(SUM($AF$125:AF211)=0,$E$42-(SUM(AE213:$AE$245)-SUM(AJ213:$AK$245,AN213:$AN$245)),AE212-SUM(AJ212:AK212,AN212)))</f>
        <v>#DIV/0!</v>
      </c>
      <c r="AG212" s="89" t="e">
        <f t="shared" si="81"/>
        <v>#DIV/0!</v>
      </c>
      <c r="AH212" s="6" t="e">
        <f t="shared" si="103"/>
        <v>#DIV/0!</v>
      </c>
      <c r="AI212" s="6" t="e">
        <f t="shared" si="82"/>
        <v>#DIV/0!</v>
      </c>
      <c r="AJ212" s="6">
        <f t="shared" si="83"/>
        <v>0</v>
      </c>
      <c r="AK212" s="90">
        <f t="shared" si="84"/>
        <v>0</v>
      </c>
      <c r="AL212" s="6" t="e">
        <f t="shared" si="85"/>
        <v>#DIV/0!</v>
      </c>
      <c r="AM212" s="6" t="e">
        <f t="shared" si="104"/>
        <v>#NUM!</v>
      </c>
      <c r="AN212" s="6">
        <f t="shared" si="86"/>
        <v>0</v>
      </c>
      <c r="AO212" s="6" t="e">
        <f t="shared" si="87"/>
        <v>#DIV/0!</v>
      </c>
      <c r="AP212" s="15">
        <f>IFERROR(XIRR($AO$125:AO212,$D$125:D212),-100%)</f>
        <v>-1</v>
      </c>
      <c r="AQ212" s="129" t="e">
        <f t="shared" si="88"/>
        <v>#NUM!</v>
      </c>
      <c r="AR212" s="300">
        <v>0</v>
      </c>
      <c r="AS212" s="130" t="e">
        <f t="shared" si="89"/>
        <v>#DIV/0!</v>
      </c>
      <c r="AT212" s="10">
        <f>IFERROR(XIRR($AS$125:$AS212,$D$125:$D212),-100%)</f>
        <v>-1</v>
      </c>
      <c r="AU212" s="300">
        <v>0</v>
      </c>
      <c r="AV212" s="130" t="e">
        <f t="shared" si="90"/>
        <v>#DIV/0!</v>
      </c>
      <c r="AW212" s="131">
        <f>IFERROR(XIRR($AV$125:$AV212,$D$125:$D212),-100%)</f>
        <v>-1</v>
      </c>
      <c r="AX212" s="213">
        <f t="shared" si="105"/>
        <v>0</v>
      </c>
      <c r="AY212" s="200" t="e">
        <f t="shared" si="91"/>
        <v>#DIV/0!</v>
      </c>
      <c r="AZ212" s="159">
        <f t="shared" si="92"/>
        <v>0</v>
      </c>
      <c r="BA212" s="148" t="e">
        <f t="shared" si="106"/>
        <v>#NUM!</v>
      </c>
      <c r="BB212" s="6" t="e">
        <f t="shared" si="93"/>
        <v>#NUM!</v>
      </c>
      <c r="BC212" s="6" t="e">
        <f t="shared" si="94"/>
        <v>#NUM!</v>
      </c>
      <c r="BD212" s="149" t="e">
        <f t="shared" si="95"/>
        <v>#NUM!</v>
      </c>
      <c r="BE212" s="148" t="e">
        <f t="shared" si="107"/>
        <v>#NUM!</v>
      </c>
      <c r="BF212" s="6" t="e">
        <f t="shared" si="96"/>
        <v>#NUM!</v>
      </c>
      <c r="BG212" s="6" t="e">
        <f t="shared" si="97"/>
        <v>#DIV/0!</v>
      </c>
      <c r="BH212" s="6" t="e">
        <f t="shared" si="108"/>
        <v>#NUM!</v>
      </c>
      <c r="BI212" s="138" t="e">
        <f t="shared" si="98"/>
        <v>#DIV/0!</v>
      </c>
    </row>
    <row r="213" spans="1:61" x14ac:dyDescent="0.25">
      <c r="A213"/>
      <c r="B213" s="9">
        <f t="shared" si="109"/>
        <v>8</v>
      </c>
      <c r="C213" s="13">
        <v>88</v>
      </c>
      <c r="D213" s="12">
        <f t="shared" si="99"/>
        <v>2708</v>
      </c>
      <c r="E213" s="6">
        <f>INDEX(GC!$G$25:$G$144,MATCH($D213,GC!$C$25:$C$144,0))</f>
        <v>0</v>
      </c>
      <c r="F213" s="6">
        <f>INDEX(GC!$I$25:$I$144,MATCH($D213,GC!$C$25:$C$144,0))</f>
        <v>0</v>
      </c>
      <c r="G213" s="6">
        <f t="shared" si="100"/>
        <v>0</v>
      </c>
      <c r="H213" s="6">
        <f t="shared" si="62"/>
        <v>0</v>
      </c>
      <c r="I213" s="6">
        <f t="shared" si="110"/>
        <v>0</v>
      </c>
      <c r="J213" s="6">
        <f>IF(SUM($I$126:I213)&gt;$E$61, SUM($I$126:I213)-SUM($J$125:J212)-$E$61,0)</f>
        <v>0</v>
      </c>
      <c r="K213" s="6" t="e">
        <f t="shared" si="63"/>
        <v>#DIV/0!</v>
      </c>
      <c r="L213" s="6" t="e">
        <f t="shared" si="64"/>
        <v>#DIV/0!</v>
      </c>
      <c r="M213" s="6" t="e">
        <f t="shared" si="65"/>
        <v>#DIV/0!</v>
      </c>
      <c r="N213" s="6">
        <f t="shared" si="66"/>
        <v>0</v>
      </c>
      <c r="O213" s="6">
        <f t="shared" si="67"/>
        <v>0</v>
      </c>
      <c r="P213" s="6">
        <f t="shared" si="68"/>
        <v>0</v>
      </c>
      <c r="Q213" s="6">
        <f t="shared" si="69"/>
        <v>0</v>
      </c>
      <c r="R213" s="6" t="e">
        <f t="shared" si="101"/>
        <v>#DIV/0!</v>
      </c>
      <c r="S213" s="6" t="e">
        <f t="shared" si="70"/>
        <v>#DIV/0!</v>
      </c>
      <c r="T213" s="11" t="e">
        <f>SUM($R$126:R213)/($E$87)</f>
        <v>#DIV/0!</v>
      </c>
      <c r="U213" s="89" t="e">
        <f t="shared" si="71"/>
        <v>#DIV/0!</v>
      </c>
      <c r="V213" s="6" t="e">
        <f t="shared" si="72"/>
        <v>#DIV/0!</v>
      </c>
      <c r="W213" s="6" t="e">
        <f t="shared" si="102"/>
        <v>#DIV/0!</v>
      </c>
      <c r="X213" s="6" t="e">
        <f t="shared" si="73"/>
        <v>#DIV/0!</v>
      </c>
      <c r="Y213" s="6" t="e">
        <f t="shared" si="74"/>
        <v>#DIV/0!</v>
      </c>
      <c r="Z213" s="90" t="e">
        <f t="shared" si="75"/>
        <v>#DIV/0!</v>
      </c>
      <c r="AA213" s="89" t="e">
        <f t="shared" si="76"/>
        <v>#DIV/0!</v>
      </c>
      <c r="AB213" s="6" t="e">
        <f t="shared" si="77"/>
        <v>#DIV/0!</v>
      </c>
      <c r="AC213" s="6" t="e">
        <f t="shared" si="78"/>
        <v>#NUM!</v>
      </c>
      <c r="AD213" s="90" t="e">
        <f t="shared" si="79"/>
        <v>#NUM!</v>
      </c>
      <c r="AE213" s="6" t="e">
        <f t="shared" si="80"/>
        <v>#DIV/0!</v>
      </c>
      <c r="AF213" s="6" t="e">
        <f>IF(SUM(AE214:$AE$245)-SUM(AJ214:$AK$245,AN214:$AN$245)&gt;$E$42,0,IF(SUM($AF$125:AF212)=0,$E$42-(SUM(AE214:$AE$245)-SUM(AJ214:$AK$245,AN214:$AN$245)),AE213-SUM(AJ213:AK213,AN213)))</f>
        <v>#DIV/0!</v>
      </c>
      <c r="AG213" s="89" t="e">
        <f t="shared" si="81"/>
        <v>#DIV/0!</v>
      </c>
      <c r="AH213" s="6" t="e">
        <f t="shared" si="103"/>
        <v>#DIV/0!</v>
      </c>
      <c r="AI213" s="6" t="e">
        <f t="shared" si="82"/>
        <v>#DIV/0!</v>
      </c>
      <c r="AJ213" s="6">
        <f t="shared" si="83"/>
        <v>0</v>
      </c>
      <c r="AK213" s="90">
        <f t="shared" si="84"/>
        <v>0</v>
      </c>
      <c r="AL213" s="6" t="e">
        <f t="shared" si="85"/>
        <v>#DIV/0!</v>
      </c>
      <c r="AM213" s="6" t="e">
        <f t="shared" si="104"/>
        <v>#NUM!</v>
      </c>
      <c r="AN213" s="6">
        <f t="shared" si="86"/>
        <v>0</v>
      </c>
      <c r="AO213" s="6" t="e">
        <f t="shared" si="87"/>
        <v>#DIV/0!</v>
      </c>
      <c r="AP213" s="15">
        <f>IFERROR(XIRR($AO$125:AO213,$D$125:D213),-100%)</f>
        <v>-1</v>
      </c>
      <c r="AQ213" s="129" t="e">
        <f t="shared" si="88"/>
        <v>#NUM!</v>
      </c>
      <c r="AR213" s="300">
        <v>0</v>
      </c>
      <c r="AS213" s="130" t="e">
        <f t="shared" si="89"/>
        <v>#DIV/0!</v>
      </c>
      <c r="AT213" s="10">
        <f>IFERROR(XIRR($AS$125:$AS213,$D$125:$D213),-100%)</f>
        <v>-1</v>
      </c>
      <c r="AU213" s="300">
        <v>0</v>
      </c>
      <c r="AV213" s="130" t="e">
        <f t="shared" si="90"/>
        <v>#DIV/0!</v>
      </c>
      <c r="AW213" s="131">
        <f>IFERROR(XIRR($AV$125:$AV213,$D$125:$D213),-100%)</f>
        <v>-1</v>
      </c>
      <c r="AX213" s="213">
        <f t="shared" si="105"/>
        <v>0</v>
      </c>
      <c r="AY213" s="200" t="e">
        <f t="shared" si="91"/>
        <v>#DIV/0!</v>
      </c>
      <c r="AZ213" s="159">
        <f t="shared" si="92"/>
        <v>0</v>
      </c>
      <c r="BA213" s="148" t="e">
        <f t="shared" si="106"/>
        <v>#NUM!</v>
      </c>
      <c r="BB213" s="6" t="e">
        <f t="shared" si="93"/>
        <v>#NUM!</v>
      </c>
      <c r="BC213" s="6" t="e">
        <f t="shared" si="94"/>
        <v>#NUM!</v>
      </c>
      <c r="BD213" s="149" t="e">
        <f t="shared" si="95"/>
        <v>#NUM!</v>
      </c>
      <c r="BE213" s="148" t="e">
        <f t="shared" si="107"/>
        <v>#NUM!</v>
      </c>
      <c r="BF213" s="6" t="e">
        <f t="shared" si="96"/>
        <v>#NUM!</v>
      </c>
      <c r="BG213" s="6" t="e">
        <f t="shared" si="97"/>
        <v>#DIV/0!</v>
      </c>
      <c r="BH213" s="6" t="e">
        <f t="shared" si="108"/>
        <v>#NUM!</v>
      </c>
      <c r="BI213" s="138" t="e">
        <f t="shared" si="98"/>
        <v>#DIV/0!</v>
      </c>
    </row>
    <row r="214" spans="1:61" x14ac:dyDescent="0.25">
      <c r="A214"/>
      <c r="B214" s="9">
        <f t="shared" si="109"/>
        <v>8</v>
      </c>
      <c r="C214" s="13">
        <v>89</v>
      </c>
      <c r="D214" s="12">
        <f t="shared" si="99"/>
        <v>2738</v>
      </c>
      <c r="E214" s="6">
        <f>INDEX(GC!$G$25:$G$144,MATCH($D214,GC!$C$25:$C$144,0))</f>
        <v>0</v>
      </c>
      <c r="F214" s="6">
        <f>INDEX(GC!$I$25:$I$144,MATCH($D214,GC!$C$25:$C$144,0))</f>
        <v>0</v>
      </c>
      <c r="G214" s="6">
        <f t="shared" si="100"/>
        <v>0</v>
      </c>
      <c r="H214" s="6">
        <f t="shared" si="62"/>
        <v>0</v>
      </c>
      <c r="I214" s="6">
        <f t="shared" si="110"/>
        <v>0</v>
      </c>
      <c r="J214" s="6">
        <f>IF(SUM($I$126:I214)&gt;$E$61, SUM($I$126:I214)-SUM($J$125:J213)-$E$61,0)</f>
        <v>0</v>
      </c>
      <c r="K214" s="6" t="e">
        <f t="shared" si="63"/>
        <v>#DIV/0!</v>
      </c>
      <c r="L214" s="6" t="e">
        <f t="shared" si="64"/>
        <v>#DIV/0!</v>
      </c>
      <c r="M214" s="6" t="e">
        <f t="shared" si="65"/>
        <v>#DIV/0!</v>
      </c>
      <c r="N214" s="6">
        <f t="shared" si="66"/>
        <v>0</v>
      </c>
      <c r="O214" s="6">
        <f t="shared" si="67"/>
        <v>0</v>
      </c>
      <c r="P214" s="6">
        <f t="shared" si="68"/>
        <v>0</v>
      </c>
      <c r="Q214" s="6">
        <f t="shared" si="69"/>
        <v>0</v>
      </c>
      <c r="R214" s="6" t="e">
        <f t="shared" si="101"/>
        <v>#DIV/0!</v>
      </c>
      <c r="S214" s="6" t="e">
        <f t="shared" si="70"/>
        <v>#DIV/0!</v>
      </c>
      <c r="T214" s="11" t="e">
        <f>SUM($R$126:R214)/($E$87)</f>
        <v>#DIV/0!</v>
      </c>
      <c r="U214" s="89" t="e">
        <f t="shared" si="71"/>
        <v>#DIV/0!</v>
      </c>
      <c r="V214" s="6" t="e">
        <f t="shared" si="72"/>
        <v>#DIV/0!</v>
      </c>
      <c r="W214" s="6" t="e">
        <f t="shared" si="102"/>
        <v>#DIV/0!</v>
      </c>
      <c r="X214" s="6" t="e">
        <f t="shared" si="73"/>
        <v>#DIV/0!</v>
      </c>
      <c r="Y214" s="6" t="e">
        <f t="shared" si="74"/>
        <v>#DIV/0!</v>
      </c>
      <c r="Z214" s="90" t="e">
        <f t="shared" si="75"/>
        <v>#DIV/0!</v>
      </c>
      <c r="AA214" s="89" t="e">
        <f t="shared" si="76"/>
        <v>#DIV/0!</v>
      </c>
      <c r="AB214" s="6" t="e">
        <f t="shared" si="77"/>
        <v>#DIV/0!</v>
      </c>
      <c r="AC214" s="6" t="e">
        <f t="shared" si="78"/>
        <v>#NUM!</v>
      </c>
      <c r="AD214" s="90" t="e">
        <f t="shared" si="79"/>
        <v>#NUM!</v>
      </c>
      <c r="AE214" s="6" t="e">
        <f t="shared" si="80"/>
        <v>#DIV/0!</v>
      </c>
      <c r="AF214" s="6" t="e">
        <f>IF(SUM(AE215:$AE$245)-SUM(AJ215:$AK$245,AN215:$AN$245)&gt;$E$42,0,IF(SUM($AF$125:AF213)=0,$E$42-(SUM(AE215:$AE$245)-SUM(AJ215:$AK$245,AN215:$AN$245)),AE214-SUM(AJ214:AK214,AN214)))</f>
        <v>#DIV/0!</v>
      </c>
      <c r="AG214" s="89" t="e">
        <f t="shared" si="81"/>
        <v>#DIV/0!</v>
      </c>
      <c r="AH214" s="6" t="e">
        <f t="shared" si="103"/>
        <v>#DIV/0!</v>
      </c>
      <c r="AI214" s="6" t="e">
        <f t="shared" si="82"/>
        <v>#DIV/0!</v>
      </c>
      <c r="AJ214" s="6">
        <f t="shared" si="83"/>
        <v>0</v>
      </c>
      <c r="AK214" s="90">
        <f t="shared" si="84"/>
        <v>0</v>
      </c>
      <c r="AL214" s="6" t="e">
        <f t="shared" si="85"/>
        <v>#DIV/0!</v>
      </c>
      <c r="AM214" s="6" t="e">
        <f t="shared" si="104"/>
        <v>#NUM!</v>
      </c>
      <c r="AN214" s="6">
        <f t="shared" si="86"/>
        <v>0</v>
      </c>
      <c r="AO214" s="6" t="e">
        <f t="shared" si="87"/>
        <v>#DIV/0!</v>
      </c>
      <c r="AP214" s="15">
        <f>IFERROR(XIRR($AO$125:AO214,$D$125:D214),-100%)</f>
        <v>-1</v>
      </c>
      <c r="AQ214" s="129" t="e">
        <f t="shared" si="88"/>
        <v>#NUM!</v>
      </c>
      <c r="AR214" s="300">
        <v>0</v>
      </c>
      <c r="AS214" s="130" t="e">
        <f t="shared" si="89"/>
        <v>#DIV/0!</v>
      </c>
      <c r="AT214" s="10">
        <f>IFERROR(XIRR($AS$125:$AS214,$D$125:$D214),-100%)</f>
        <v>-1</v>
      </c>
      <c r="AU214" s="300">
        <v>0</v>
      </c>
      <c r="AV214" s="130" t="e">
        <f t="shared" si="90"/>
        <v>#DIV/0!</v>
      </c>
      <c r="AW214" s="131">
        <f>IFERROR(XIRR($AV$125:$AV214,$D$125:$D214),-100%)</f>
        <v>-1</v>
      </c>
      <c r="AX214" s="213">
        <f t="shared" si="105"/>
        <v>0</v>
      </c>
      <c r="AY214" s="200" t="e">
        <f t="shared" si="91"/>
        <v>#DIV/0!</v>
      </c>
      <c r="AZ214" s="159">
        <f t="shared" si="92"/>
        <v>0</v>
      </c>
      <c r="BA214" s="148" t="e">
        <f t="shared" si="106"/>
        <v>#NUM!</v>
      </c>
      <c r="BB214" s="6" t="e">
        <f t="shared" si="93"/>
        <v>#NUM!</v>
      </c>
      <c r="BC214" s="6" t="e">
        <f t="shared" si="94"/>
        <v>#NUM!</v>
      </c>
      <c r="BD214" s="149" t="e">
        <f t="shared" si="95"/>
        <v>#NUM!</v>
      </c>
      <c r="BE214" s="148" t="e">
        <f t="shared" si="107"/>
        <v>#NUM!</v>
      </c>
      <c r="BF214" s="6" t="e">
        <f t="shared" si="96"/>
        <v>#NUM!</v>
      </c>
      <c r="BG214" s="6" t="e">
        <f t="shared" si="97"/>
        <v>#DIV/0!</v>
      </c>
      <c r="BH214" s="6" t="e">
        <f t="shared" si="108"/>
        <v>#NUM!</v>
      </c>
      <c r="BI214" s="138" t="e">
        <f t="shared" si="98"/>
        <v>#DIV/0!</v>
      </c>
    </row>
    <row r="215" spans="1:61" x14ac:dyDescent="0.25">
      <c r="A215"/>
      <c r="B215" s="9">
        <f t="shared" si="109"/>
        <v>8</v>
      </c>
      <c r="C215" s="13">
        <v>90</v>
      </c>
      <c r="D215" s="12">
        <f t="shared" si="99"/>
        <v>2769</v>
      </c>
      <c r="E215" s="6">
        <f>INDEX(GC!$G$25:$G$144,MATCH($D215,GC!$C$25:$C$144,0))</f>
        <v>0</v>
      </c>
      <c r="F215" s="6">
        <f>INDEX(GC!$I$25:$I$144,MATCH($D215,GC!$C$25:$C$144,0))</f>
        <v>0</v>
      </c>
      <c r="G215" s="6">
        <f t="shared" si="100"/>
        <v>0</v>
      </c>
      <c r="H215" s="6">
        <f t="shared" si="62"/>
        <v>0</v>
      </c>
      <c r="I215" s="6">
        <f t="shared" si="110"/>
        <v>0</v>
      </c>
      <c r="J215" s="6">
        <f>IF(SUM($I$126:I215)&gt;$E$61, SUM($I$126:I215)-SUM($J$125:J214)-$E$61,0)</f>
        <v>0</v>
      </c>
      <c r="K215" s="6" t="e">
        <f t="shared" si="63"/>
        <v>#DIV/0!</v>
      </c>
      <c r="L215" s="6" t="e">
        <f t="shared" si="64"/>
        <v>#DIV/0!</v>
      </c>
      <c r="M215" s="6" t="e">
        <f t="shared" si="65"/>
        <v>#DIV/0!</v>
      </c>
      <c r="N215" s="6">
        <f t="shared" si="66"/>
        <v>0</v>
      </c>
      <c r="O215" s="6">
        <f t="shared" si="67"/>
        <v>0</v>
      </c>
      <c r="P215" s="6">
        <f t="shared" si="68"/>
        <v>0</v>
      </c>
      <c r="Q215" s="6">
        <f t="shared" si="69"/>
        <v>0</v>
      </c>
      <c r="R215" s="6" t="e">
        <f t="shared" si="101"/>
        <v>#DIV/0!</v>
      </c>
      <c r="S215" s="6" t="e">
        <f t="shared" si="70"/>
        <v>#DIV/0!</v>
      </c>
      <c r="T215" s="11" t="e">
        <f>SUM($R$126:R215)/($E$87)</f>
        <v>#DIV/0!</v>
      </c>
      <c r="U215" s="89" t="e">
        <f t="shared" si="71"/>
        <v>#DIV/0!</v>
      </c>
      <c r="V215" s="6" t="e">
        <f t="shared" si="72"/>
        <v>#DIV/0!</v>
      </c>
      <c r="W215" s="6" t="e">
        <f t="shared" si="102"/>
        <v>#DIV/0!</v>
      </c>
      <c r="X215" s="6" t="e">
        <f t="shared" si="73"/>
        <v>#DIV/0!</v>
      </c>
      <c r="Y215" s="6" t="e">
        <f t="shared" si="74"/>
        <v>#DIV/0!</v>
      </c>
      <c r="Z215" s="90" t="e">
        <f t="shared" si="75"/>
        <v>#DIV/0!</v>
      </c>
      <c r="AA215" s="89" t="e">
        <f t="shared" si="76"/>
        <v>#DIV/0!</v>
      </c>
      <c r="AB215" s="6" t="e">
        <f t="shared" si="77"/>
        <v>#DIV/0!</v>
      </c>
      <c r="AC215" s="6" t="e">
        <f t="shared" si="78"/>
        <v>#NUM!</v>
      </c>
      <c r="AD215" s="90" t="e">
        <f t="shared" si="79"/>
        <v>#NUM!</v>
      </c>
      <c r="AE215" s="6" t="e">
        <f t="shared" si="80"/>
        <v>#DIV/0!</v>
      </c>
      <c r="AF215" s="6" t="e">
        <f>IF(SUM(AE216:$AE$245)-SUM(AJ216:$AK$245,AN216:$AN$245)&gt;$E$42,0,IF(SUM($AF$125:AF214)=0,$E$42-(SUM(AE216:$AE$245)-SUM(AJ216:$AK$245,AN216:$AN$245)),AE215-SUM(AJ215:AK215,AN215)))</f>
        <v>#DIV/0!</v>
      </c>
      <c r="AG215" s="89" t="e">
        <f t="shared" si="81"/>
        <v>#DIV/0!</v>
      </c>
      <c r="AH215" s="6" t="e">
        <f t="shared" si="103"/>
        <v>#DIV/0!</v>
      </c>
      <c r="AI215" s="6" t="e">
        <f t="shared" si="82"/>
        <v>#DIV/0!</v>
      </c>
      <c r="AJ215" s="6">
        <f t="shared" si="83"/>
        <v>0</v>
      </c>
      <c r="AK215" s="90">
        <f t="shared" si="84"/>
        <v>0</v>
      </c>
      <c r="AL215" s="6" t="e">
        <f t="shared" si="85"/>
        <v>#DIV/0!</v>
      </c>
      <c r="AM215" s="6" t="e">
        <f t="shared" si="104"/>
        <v>#NUM!</v>
      </c>
      <c r="AN215" s="6">
        <f t="shared" si="86"/>
        <v>0</v>
      </c>
      <c r="AO215" s="6" t="e">
        <f t="shared" si="87"/>
        <v>#DIV/0!</v>
      </c>
      <c r="AP215" s="15">
        <f>IFERROR(XIRR($AO$125:AO215,$D$125:D215),-100%)</f>
        <v>-1</v>
      </c>
      <c r="AQ215" s="129" t="e">
        <f t="shared" si="88"/>
        <v>#NUM!</v>
      </c>
      <c r="AR215" s="300">
        <v>0</v>
      </c>
      <c r="AS215" s="130" t="e">
        <f t="shared" si="89"/>
        <v>#DIV/0!</v>
      </c>
      <c r="AT215" s="10">
        <f>IFERROR(XIRR($AS$125:$AS215,$D$125:$D215),-100%)</f>
        <v>-1</v>
      </c>
      <c r="AU215" s="300">
        <v>0</v>
      </c>
      <c r="AV215" s="130" t="e">
        <f t="shared" si="90"/>
        <v>#DIV/0!</v>
      </c>
      <c r="AW215" s="131">
        <f>IFERROR(XIRR($AV$125:$AV215,$D$125:$D215),-100%)</f>
        <v>-1</v>
      </c>
      <c r="AX215" s="213">
        <f t="shared" si="105"/>
        <v>0</v>
      </c>
      <c r="AY215" s="200" t="e">
        <f t="shared" si="91"/>
        <v>#DIV/0!</v>
      </c>
      <c r="AZ215" s="159">
        <f t="shared" si="92"/>
        <v>0</v>
      </c>
      <c r="BA215" s="148" t="e">
        <f t="shared" si="106"/>
        <v>#NUM!</v>
      </c>
      <c r="BB215" s="6" t="e">
        <f t="shared" si="93"/>
        <v>#NUM!</v>
      </c>
      <c r="BC215" s="6" t="e">
        <f t="shared" si="94"/>
        <v>#NUM!</v>
      </c>
      <c r="BD215" s="149" t="e">
        <f t="shared" si="95"/>
        <v>#NUM!</v>
      </c>
      <c r="BE215" s="148" t="e">
        <f t="shared" si="107"/>
        <v>#NUM!</v>
      </c>
      <c r="BF215" s="6" t="e">
        <f t="shared" si="96"/>
        <v>#NUM!</v>
      </c>
      <c r="BG215" s="6" t="e">
        <f t="shared" si="97"/>
        <v>#DIV/0!</v>
      </c>
      <c r="BH215" s="6" t="e">
        <f t="shared" si="108"/>
        <v>#NUM!</v>
      </c>
      <c r="BI215" s="138" t="e">
        <f t="shared" si="98"/>
        <v>#DIV/0!</v>
      </c>
    </row>
    <row r="216" spans="1:61" x14ac:dyDescent="0.25">
      <c r="A216"/>
      <c r="B216" s="9">
        <f t="shared" si="109"/>
        <v>8</v>
      </c>
      <c r="C216" s="13">
        <v>91</v>
      </c>
      <c r="D216" s="12">
        <f t="shared" si="99"/>
        <v>2800</v>
      </c>
      <c r="E216" s="6">
        <f>INDEX(GC!$G$25:$G$144,MATCH($D216,GC!$C$25:$C$144,0))</f>
        <v>0</v>
      </c>
      <c r="F216" s="6">
        <f>INDEX(GC!$I$25:$I$144,MATCH($D216,GC!$C$25:$C$144,0))</f>
        <v>0</v>
      </c>
      <c r="G216" s="6">
        <f t="shared" si="100"/>
        <v>0</v>
      </c>
      <c r="H216" s="6">
        <f t="shared" si="62"/>
        <v>0</v>
      </c>
      <c r="I216" s="6">
        <f t="shared" si="110"/>
        <v>0</v>
      </c>
      <c r="J216" s="6">
        <f>IF(SUM($I$126:I216)&gt;$E$61, SUM($I$126:I216)-SUM($J$125:J215)-$E$61,0)</f>
        <v>0</v>
      </c>
      <c r="K216" s="6" t="e">
        <f t="shared" si="63"/>
        <v>#DIV/0!</v>
      </c>
      <c r="L216" s="6" t="e">
        <f t="shared" si="64"/>
        <v>#DIV/0!</v>
      </c>
      <c r="M216" s="6" t="e">
        <f t="shared" si="65"/>
        <v>#DIV/0!</v>
      </c>
      <c r="N216" s="6">
        <f t="shared" si="66"/>
        <v>0</v>
      </c>
      <c r="O216" s="6">
        <f t="shared" si="67"/>
        <v>0</v>
      </c>
      <c r="P216" s="6">
        <f t="shared" si="68"/>
        <v>0</v>
      </c>
      <c r="Q216" s="6">
        <f t="shared" si="69"/>
        <v>0</v>
      </c>
      <c r="R216" s="6" t="e">
        <f t="shared" si="101"/>
        <v>#DIV/0!</v>
      </c>
      <c r="S216" s="6" t="e">
        <f t="shared" si="70"/>
        <v>#DIV/0!</v>
      </c>
      <c r="T216" s="11" t="e">
        <f>SUM($R$126:R216)/($E$87)</f>
        <v>#DIV/0!</v>
      </c>
      <c r="U216" s="89" t="e">
        <f t="shared" si="71"/>
        <v>#DIV/0!</v>
      </c>
      <c r="V216" s="6" t="e">
        <f t="shared" si="72"/>
        <v>#DIV/0!</v>
      </c>
      <c r="W216" s="6" t="e">
        <f t="shared" si="102"/>
        <v>#DIV/0!</v>
      </c>
      <c r="X216" s="6" t="e">
        <f t="shared" si="73"/>
        <v>#DIV/0!</v>
      </c>
      <c r="Y216" s="6" t="e">
        <f t="shared" si="74"/>
        <v>#DIV/0!</v>
      </c>
      <c r="Z216" s="90" t="e">
        <f t="shared" si="75"/>
        <v>#DIV/0!</v>
      </c>
      <c r="AA216" s="89" t="e">
        <f t="shared" si="76"/>
        <v>#DIV/0!</v>
      </c>
      <c r="AB216" s="6" t="e">
        <f t="shared" si="77"/>
        <v>#DIV/0!</v>
      </c>
      <c r="AC216" s="6" t="e">
        <f t="shared" si="78"/>
        <v>#NUM!</v>
      </c>
      <c r="AD216" s="90" t="e">
        <f t="shared" si="79"/>
        <v>#NUM!</v>
      </c>
      <c r="AE216" s="6" t="e">
        <f t="shared" si="80"/>
        <v>#DIV/0!</v>
      </c>
      <c r="AF216" s="6" t="e">
        <f>IF(SUM(AE217:$AE$245)-SUM(AJ217:$AK$245,AN217:$AN$245)&gt;$E$42,0,IF(SUM($AF$125:AF215)=0,$E$42-(SUM(AE217:$AE$245)-SUM(AJ217:$AK$245,AN217:$AN$245)),AE216-SUM(AJ216:AK216,AN216)))</f>
        <v>#DIV/0!</v>
      </c>
      <c r="AG216" s="89" t="e">
        <f t="shared" si="81"/>
        <v>#DIV/0!</v>
      </c>
      <c r="AH216" s="6" t="e">
        <f t="shared" si="103"/>
        <v>#DIV/0!</v>
      </c>
      <c r="AI216" s="6" t="e">
        <f t="shared" si="82"/>
        <v>#DIV/0!</v>
      </c>
      <c r="AJ216" s="6">
        <f t="shared" si="83"/>
        <v>0</v>
      </c>
      <c r="AK216" s="90">
        <f t="shared" si="84"/>
        <v>0</v>
      </c>
      <c r="AL216" s="6" t="e">
        <f t="shared" si="85"/>
        <v>#DIV/0!</v>
      </c>
      <c r="AM216" s="6" t="e">
        <f t="shared" si="104"/>
        <v>#NUM!</v>
      </c>
      <c r="AN216" s="6">
        <f t="shared" si="86"/>
        <v>0</v>
      </c>
      <c r="AO216" s="6" t="e">
        <f t="shared" si="87"/>
        <v>#DIV/0!</v>
      </c>
      <c r="AP216" s="15">
        <f>IFERROR(XIRR($AO$125:AO216,$D$125:D216),-100%)</f>
        <v>-1</v>
      </c>
      <c r="AQ216" s="129" t="e">
        <f t="shared" si="88"/>
        <v>#NUM!</v>
      </c>
      <c r="AR216" s="300">
        <v>0</v>
      </c>
      <c r="AS216" s="130" t="e">
        <f t="shared" si="89"/>
        <v>#DIV/0!</v>
      </c>
      <c r="AT216" s="10">
        <f>IFERROR(XIRR($AS$125:$AS216,$D$125:$D216),-100%)</f>
        <v>-1</v>
      </c>
      <c r="AU216" s="300">
        <v>0</v>
      </c>
      <c r="AV216" s="130" t="e">
        <f t="shared" si="90"/>
        <v>#DIV/0!</v>
      </c>
      <c r="AW216" s="131">
        <f>IFERROR(XIRR($AV$125:$AV216,$D$125:$D216),-100%)</f>
        <v>-1</v>
      </c>
      <c r="AX216" s="213">
        <f t="shared" si="105"/>
        <v>0</v>
      </c>
      <c r="AY216" s="200" t="e">
        <f t="shared" si="91"/>
        <v>#DIV/0!</v>
      </c>
      <c r="AZ216" s="159">
        <f t="shared" si="92"/>
        <v>0</v>
      </c>
      <c r="BA216" s="148" t="e">
        <f t="shared" si="106"/>
        <v>#NUM!</v>
      </c>
      <c r="BB216" s="6" t="e">
        <f t="shared" si="93"/>
        <v>#NUM!</v>
      </c>
      <c r="BC216" s="6" t="e">
        <f t="shared" si="94"/>
        <v>#NUM!</v>
      </c>
      <c r="BD216" s="149" t="e">
        <f t="shared" si="95"/>
        <v>#NUM!</v>
      </c>
      <c r="BE216" s="148" t="e">
        <f t="shared" si="107"/>
        <v>#NUM!</v>
      </c>
      <c r="BF216" s="6" t="e">
        <f t="shared" si="96"/>
        <v>#NUM!</v>
      </c>
      <c r="BG216" s="6" t="e">
        <f t="shared" si="97"/>
        <v>#DIV/0!</v>
      </c>
      <c r="BH216" s="6" t="e">
        <f t="shared" si="108"/>
        <v>#NUM!</v>
      </c>
      <c r="BI216" s="138" t="e">
        <f t="shared" si="98"/>
        <v>#DIV/0!</v>
      </c>
    </row>
    <row r="217" spans="1:61" x14ac:dyDescent="0.25">
      <c r="A217"/>
      <c r="B217" s="9">
        <f t="shared" si="109"/>
        <v>8</v>
      </c>
      <c r="C217" s="13">
        <v>92</v>
      </c>
      <c r="D217" s="12">
        <f t="shared" si="99"/>
        <v>2830</v>
      </c>
      <c r="E217" s="6">
        <f>INDEX(GC!$G$25:$G$144,MATCH($D217,GC!$C$25:$C$144,0))</f>
        <v>0</v>
      </c>
      <c r="F217" s="6">
        <f>INDEX(GC!$I$25:$I$144,MATCH($D217,GC!$C$25:$C$144,0))</f>
        <v>0</v>
      </c>
      <c r="G217" s="6">
        <f t="shared" si="100"/>
        <v>0</v>
      </c>
      <c r="H217" s="6">
        <f t="shared" si="62"/>
        <v>0</v>
      </c>
      <c r="I217" s="6">
        <f t="shared" si="110"/>
        <v>0</v>
      </c>
      <c r="J217" s="6">
        <f>IF(SUM($I$126:I217)&gt;$E$61, SUM($I$126:I217)-SUM($J$125:J216)-$E$61,0)</f>
        <v>0</v>
      </c>
      <c r="K217" s="6" t="e">
        <f t="shared" si="63"/>
        <v>#DIV/0!</v>
      </c>
      <c r="L217" s="6" t="e">
        <f t="shared" si="64"/>
        <v>#DIV/0!</v>
      </c>
      <c r="M217" s="6" t="e">
        <f t="shared" si="65"/>
        <v>#DIV/0!</v>
      </c>
      <c r="N217" s="6">
        <f t="shared" si="66"/>
        <v>0</v>
      </c>
      <c r="O217" s="6">
        <f t="shared" si="67"/>
        <v>0</v>
      </c>
      <c r="P217" s="6">
        <f t="shared" si="68"/>
        <v>0</v>
      </c>
      <c r="Q217" s="6">
        <f t="shared" si="69"/>
        <v>0</v>
      </c>
      <c r="R217" s="6" t="e">
        <f t="shared" si="101"/>
        <v>#DIV/0!</v>
      </c>
      <c r="S217" s="6" t="e">
        <f t="shared" si="70"/>
        <v>#DIV/0!</v>
      </c>
      <c r="T217" s="11" t="e">
        <f>SUM($R$126:R217)/($E$87)</f>
        <v>#DIV/0!</v>
      </c>
      <c r="U217" s="89" t="e">
        <f t="shared" si="71"/>
        <v>#DIV/0!</v>
      </c>
      <c r="V217" s="6" t="e">
        <f t="shared" si="72"/>
        <v>#DIV/0!</v>
      </c>
      <c r="W217" s="6" t="e">
        <f t="shared" si="102"/>
        <v>#DIV/0!</v>
      </c>
      <c r="X217" s="6" t="e">
        <f t="shared" si="73"/>
        <v>#DIV/0!</v>
      </c>
      <c r="Y217" s="6" t="e">
        <f t="shared" si="74"/>
        <v>#DIV/0!</v>
      </c>
      <c r="Z217" s="90" t="e">
        <f t="shared" si="75"/>
        <v>#DIV/0!</v>
      </c>
      <c r="AA217" s="89" t="e">
        <f t="shared" si="76"/>
        <v>#DIV/0!</v>
      </c>
      <c r="AB217" s="6" t="e">
        <f t="shared" si="77"/>
        <v>#DIV/0!</v>
      </c>
      <c r="AC217" s="6" t="e">
        <f t="shared" si="78"/>
        <v>#NUM!</v>
      </c>
      <c r="AD217" s="90" t="e">
        <f t="shared" si="79"/>
        <v>#NUM!</v>
      </c>
      <c r="AE217" s="6" t="e">
        <f t="shared" si="80"/>
        <v>#DIV/0!</v>
      </c>
      <c r="AF217" s="6" t="e">
        <f>IF(SUM(AE218:$AE$245)-SUM(AJ218:$AK$245,AN218:$AN$245)&gt;$E$42,0,IF(SUM($AF$125:AF216)=0,$E$42-(SUM(AE218:$AE$245)-SUM(AJ218:$AK$245,AN218:$AN$245)),AE217-SUM(AJ217:AK217,AN217)))</f>
        <v>#DIV/0!</v>
      </c>
      <c r="AG217" s="89" t="e">
        <f t="shared" si="81"/>
        <v>#DIV/0!</v>
      </c>
      <c r="AH217" s="6" t="e">
        <f t="shared" si="103"/>
        <v>#DIV/0!</v>
      </c>
      <c r="AI217" s="6" t="e">
        <f t="shared" si="82"/>
        <v>#DIV/0!</v>
      </c>
      <c r="AJ217" s="6">
        <f t="shared" si="83"/>
        <v>0</v>
      </c>
      <c r="AK217" s="90">
        <f t="shared" si="84"/>
        <v>0</v>
      </c>
      <c r="AL217" s="6" t="e">
        <f t="shared" si="85"/>
        <v>#DIV/0!</v>
      </c>
      <c r="AM217" s="6" t="e">
        <f t="shared" si="104"/>
        <v>#NUM!</v>
      </c>
      <c r="AN217" s="6">
        <f t="shared" si="86"/>
        <v>0</v>
      </c>
      <c r="AO217" s="6" t="e">
        <f t="shared" si="87"/>
        <v>#DIV/0!</v>
      </c>
      <c r="AP217" s="15">
        <f>IFERROR(XIRR($AO$125:AO217,$D$125:D217),-100%)</f>
        <v>-1</v>
      </c>
      <c r="AQ217" s="129" t="e">
        <f t="shared" si="88"/>
        <v>#NUM!</v>
      </c>
      <c r="AR217" s="300">
        <v>0</v>
      </c>
      <c r="AS217" s="130" t="e">
        <f t="shared" si="89"/>
        <v>#DIV/0!</v>
      </c>
      <c r="AT217" s="10">
        <f>IFERROR(XIRR($AS$125:$AS217,$D$125:$D217),-100%)</f>
        <v>-1</v>
      </c>
      <c r="AU217" s="300">
        <v>0</v>
      </c>
      <c r="AV217" s="130" t="e">
        <f t="shared" si="90"/>
        <v>#DIV/0!</v>
      </c>
      <c r="AW217" s="131">
        <f>IFERROR(XIRR($AV$125:$AV217,$D$125:$D217),-100%)</f>
        <v>-1</v>
      </c>
      <c r="AX217" s="213">
        <f t="shared" si="105"/>
        <v>0</v>
      </c>
      <c r="AY217" s="200" t="e">
        <f t="shared" si="91"/>
        <v>#DIV/0!</v>
      </c>
      <c r="AZ217" s="159">
        <f t="shared" si="92"/>
        <v>0</v>
      </c>
      <c r="BA217" s="148" t="e">
        <f t="shared" si="106"/>
        <v>#NUM!</v>
      </c>
      <c r="BB217" s="6" t="e">
        <f t="shared" si="93"/>
        <v>#NUM!</v>
      </c>
      <c r="BC217" s="6" t="e">
        <f t="shared" si="94"/>
        <v>#NUM!</v>
      </c>
      <c r="BD217" s="149" t="e">
        <f t="shared" si="95"/>
        <v>#NUM!</v>
      </c>
      <c r="BE217" s="148" t="e">
        <f t="shared" si="107"/>
        <v>#NUM!</v>
      </c>
      <c r="BF217" s="6" t="e">
        <f t="shared" si="96"/>
        <v>#NUM!</v>
      </c>
      <c r="BG217" s="6" t="e">
        <f t="shared" si="97"/>
        <v>#DIV/0!</v>
      </c>
      <c r="BH217" s="6" t="e">
        <f t="shared" si="108"/>
        <v>#NUM!</v>
      </c>
      <c r="BI217" s="138" t="e">
        <f t="shared" si="98"/>
        <v>#DIV/0!</v>
      </c>
    </row>
    <row r="218" spans="1:61" x14ac:dyDescent="0.25">
      <c r="A218"/>
      <c r="B218" s="9">
        <f t="shared" si="109"/>
        <v>8</v>
      </c>
      <c r="C218" s="13">
        <v>93</v>
      </c>
      <c r="D218" s="12">
        <f t="shared" si="99"/>
        <v>2861</v>
      </c>
      <c r="E218" s="6">
        <f>INDEX(GC!$G$25:$G$144,MATCH($D218,GC!$C$25:$C$144,0))</f>
        <v>0</v>
      </c>
      <c r="F218" s="6">
        <f>INDEX(GC!$I$25:$I$144,MATCH($D218,GC!$C$25:$C$144,0))</f>
        <v>0</v>
      </c>
      <c r="G218" s="6">
        <f t="shared" si="100"/>
        <v>0</v>
      </c>
      <c r="H218" s="6">
        <f t="shared" si="62"/>
        <v>0</v>
      </c>
      <c r="I218" s="6">
        <f t="shared" si="110"/>
        <v>0</v>
      </c>
      <c r="J218" s="6">
        <f>IF(SUM($I$126:I218)&gt;$E$61, SUM($I$126:I218)-SUM($J$125:J217)-$E$61,0)</f>
        <v>0</v>
      </c>
      <c r="K218" s="6" t="e">
        <f t="shared" si="63"/>
        <v>#DIV/0!</v>
      </c>
      <c r="L218" s="6" t="e">
        <f t="shared" si="64"/>
        <v>#DIV/0!</v>
      </c>
      <c r="M218" s="6" t="e">
        <f t="shared" si="65"/>
        <v>#DIV/0!</v>
      </c>
      <c r="N218" s="6">
        <f t="shared" si="66"/>
        <v>0</v>
      </c>
      <c r="O218" s="6">
        <f t="shared" si="67"/>
        <v>0</v>
      </c>
      <c r="P218" s="6">
        <f t="shared" si="68"/>
        <v>0</v>
      </c>
      <c r="Q218" s="6">
        <f t="shared" si="69"/>
        <v>0</v>
      </c>
      <c r="R218" s="6" t="e">
        <f t="shared" si="101"/>
        <v>#DIV/0!</v>
      </c>
      <c r="S218" s="6" t="e">
        <f t="shared" si="70"/>
        <v>#DIV/0!</v>
      </c>
      <c r="T218" s="11" t="e">
        <f>SUM($R$126:R218)/($E$87)</f>
        <v>#DIV/0!</v>
      </c>
      <c r="U218" s="89" t="e">
        <f t="shared" si="71"/>
        <v>#DIV/0!</v>
      </c>
      <c r="V218" s="6" t="e">
        <f t="shared" si="72"/>
        <v>#DIV/0!</v>
      </c>
      <c r="W218" s="6" t="e">
        <f t="shared" si="102"/>
        <v>#DIV/0!</v>
      </c>
      <c r="X218" s="6" t="e">
        <f t="shared" si="73"/>
        <v>#DIV/0!</v>
      </c>
      <c r="Y218" s="6" t="e">
        <f t="shared" si="74"/>
        <v>#DIV/0!</v>
      </c>
      <c r="Z218" s="90" t="e">
        <f t="shared" si="75"/>
        <v>#DIV/0!</v>
      </c>
      <c r="AA218" s="89" t="e">
        <f t="shared" si="76"/>
        <v>#DIV/0!</v>
      </c>
      <c r="AB218" s="6" t="e">
        <f t="shared" si="77"/>
        <v>#DIV/0!</v>
      </c>
      <c r="AC218" s="6" t="e">
        <f t="shared" si="78"/>
        <v>#NUM!</v>
      </c>
      <c r="AD218" s="90" t="e">
        <f t="shared" si="79"/>
        <v>#NUM!</v>
      </c>
      <c r="AE218" s="6" t="e">
        <f t="shared" si="80"/>
        <v>#DIV/0!</v>
      </c>
      <c r="AF218" s="6" t="e">
        <f>IF(SUM(AE219:$AE$245)-SUM(AJ219:$AK$245,AN219:$AN$245)&gt;$E$42,0,IF(SUM($AF$125:AF217)=0,$E$42-(SUM(AE219:$AE$245)-SUM(AJ219:$AK$245,AN219:$AN$245)),AE218-SUM(AJ218:AK218,AN218)))</f>
        <v>#DIV/0!</v>
      </c>
      <c r="AG218" s="89" t="e">
        <f t="shared" si="81"/>
        <v>#DIV/0!</v>
      </c>
      <c r="AH218" s="6" t="e">
        <f t="shared" si="103"/>
        <v>#DIV/0!</v>
      </c>
      <c r="AI218" s="6" t="e">
        <f t="shared" si="82"/>
        <v>#DIV/0!</v>
      </c>
      <c r="AJ218" s="6">
        <f t="shared" si="83"/>
        <v>0</v>
      </c>
      <c r="AK218" s="90">
        <f t="shared" si="84"/>
        <v>0</v>
      </c>
      <c r="AL218" s="6" t="e">
        <f t="shared" si="85"/>
        <v>#DIV/0!</v>
      </c>
      <c r="AM218" s="6" t="e">
        <f t="shared" si="104"/>
        <v>#NUM!</v>
      </c>
      <c r="AN218" s="6">
        <f t="shared" si="86"/>
        <v>0</v>
      </c>
      <c r="AO218" s="6" t="e">
        <f t="shared" si="87"/>
        <v>#DIV/0!</v>
      </c>
      <c r="AP218" s="15">
        <f>IFERROR(XIRR($AO$125:AO218,$D$125:D218),-100%)</f>
        <v>-1</v>
      </c>
      <c r="AQ218" s="129" t="e">
        <f t="shared" si="88"/>
        <v>#NUM!</v>
      </c>
      <c r="AR218" s="300">
        <v>0</v>
      </c>
      <c r="AS218" s="130" t="e">
        <f t="shared" si="89"/>
        <v>#DIV/0!</v>
      </c>
      <c r="AT218" s="10">
        <f>IFERROR(XIRR($AS$125:$AS218,$D$125:$D218),-100%)</f>
        <v>-1</v>
      </c>
      <c r="AU218" s="300">
        <v>0</v>
      </c>
      <c r="AV218" s="130" t="e">
        <f t="shared" si="90"/>
        <v>#DIV/0!</v>
      </c>
      <c r="AW218" s="131">
        <f>IFERROR(XIRR($AV$125:$AV218,$D$125:$D218),-100%)</f>
        <v>-1</v>
      </c>
      <c r="AX218" s="213">
        <f t="shared" si="105"/>
        <v>0</v>
      </c>
      <c r="AY218" s="200" t="e">
        <f t="shared" si="91"/>
        <v>#DIV/0!</v>
      </c>
      <c r="AZ218" s="159">
        <f t="shared" si="92"/>
        <v>0</v>
      </c>
      <c r="BA218" s="148" t="e">
        <f t="shared" si="106"/>
        <v>#NUM!</v>
      </c>
      <c r="BB218" s="6" t="e">
        <f t="shared" si="93"/>
        <v>#NUM!</v>
      </c>
      <c r="BC218" s="6" t="e">
        <f t="shared" si="94"/>
        <v>#NUM!</v>
      </c>
      <c r="BD218" s="149" t="e">
        <f t="shared" si="95"/>
        <v>#NUM!</v>
      </c>
      <c r="BE218" s="148" t="e">
        <f t="shared" si="107"/>
        <v>#NUM!</v>
      </c>
      <c r="BF218" s="6" t="e">
        <f t="shared" si="96"/>
        <v>#NUM!</v>
      </c>
      <c r="BG218" s="6" t="e">
        <f t="shared" si="97"/>
        <v>#DIV/0!</v>
      </c>
      <c r="BH218" s="6" t="e">
        <f t="shared" si="108"/>
        <v>#NUM!</v>
      </c>
      <c r="BI218" s="138" t="e">
        <f t="shared" si="98"/>
        <v>#DIV/0!</v>
      </c>
    </row>
    <row r="219" spans="1:61" x14ac:dyDescent="0.25">
      <c r="A219"/>
      <c r="B219" s="9">
        <f t="shared" si="109"/>
        <v>8</v>
      </c>
      <c r="C219" s="13">
        <v>94</v>
      </c>
      <c r="D219" s="12">
        <f t="shared" si="99"/>
        <v>2891</v>
      </c>
      <c r="E219" s="6">
        <f>INDEX(GC!$G$25:$G$144,MATCH($D219,GC!$C$25:$C$144,0))</f>
        <v>0</v>
      </c>
      <c r="F219" s="6">
        <f>INDEX(GC!$I$25:$I$144,MATCH($D219,GC!$C$25:$C$144,0))</f>
        <v>0</v>
      </c>
      <c r="G219" s="6">
        <f t="shared" si="100"/>
        <v>0</v>
      </c>
      <c r="H219" s="6">
        <f t="shared" si="62"/>
        <v>0</v>
      </c>
      <c r="I219" s="6">
        <f t="shared" si="110"/>
        <v>0</v>
      </c>
      <c r="J219" s="6">
        <f>IF(SUM($I$126:I219)&gt;$E$61, SUM($I$126:I219)-SUM($J$125:J218)-$E$61,0)</f>
        <v>0</v>
      </c>
      <c r="K219" s="6" t="e">
        <f t="shared" si="63"/>
        <v>#DIV/0!</v>
      </c>
      <c r="L219" s="6" t="e">
        <f t="shared" si="64"/>
        <v>#DIV/0!</v>
      </c>
      <c r="M219" s="6" t="e">
        <f t="shared" si="65"/>
        <v>#DIV/0!</v>
      </c>
      <c r="N219" s="6">
        <f t="shared" si="66"/>
        <v>0</v>
      </c>
      <c r="O219" s="6">
        <f t="shared" si="67"/>
        <v>0</v>
      </c>
      <c r="P219" s="6">
        <f t="shared" si="68"/>
        <v>0</v>
      </c>
      <c r="Q219" s="6">
        <f t="shared" si="69"/>
        <v>0</v>
      </c>
      <c r="R219" s="6" t="e">
        <f t="shared" si="101"/>
        <v>#DIV/0!</v>
      </c>
      <c r="S219" s="6" t="e">
        <f t="shared" si="70"/>
        <v>#DIV/0!</v>
      </c>
      <c r="T219" s="11" t="e">
        <f>SUM($R$126:R219)/($E$87)</f>
        <v>#DIV/0!</v>
      </c>
      <c r="U219" s="89" t="e">
        <f t="shared" si="71"/>
        <v>#DIV/0!</v>
      </c>
      <c r="V219" s="6" t="e">
        <f t="shared" si="72"/>
        <v>#DIV/0!</v>
      </c>
      <c r="W219" s="6" t="e">
        <f t="shared" si="102"/>
        <v>#DIV/0!</v>
      </c>
      <c r="X219" s="6" t="e">
        <f t="shared" si="73"/>
        <v>#DIV/0!</v>
      </c>
      <c r="Y219" s="6" t="e">
        <f t="shared" si="74"/>
        <v>#DIV/0!</v>
      </c>
      <c r="Z219" s="90" t="e">
        <f t="shared" si="75"/>
        <v>#DIV/0!</v>
      </c>
      <c r="AA219" s="89" t="e">
        <f t="shared" si="76"/>
        <v>#DIV/0!</v>
      </c>
      <c r="AB219" s="6" t="e">
        <f t="shared" si="77"/>
        <v>#DIV/0!</v>
      </c>
      <c r="AC219" s="6" t="e">
        <f t="shared" si="78"/>
        <v>#NUM!</v>
      </c>
      <c r="AD219" s="90" t="e">
        <f t="shared" si="79"/>
        <v>#NUM!</v>
      </c>
      <c r="AE219" s="6" t="e">
        <f t="shared" si="80"/>
        <v>#DIV/0!</v>
      </c>
      <c r="AF219" s="6" t="e">
        <f>IF(SUM(AE220:$AE$245)-SUM(AJ220:$AK$245,AN220:$AN$245)&gt;$E$42,0,IF(SUM($AF$125:AF218)=0,$E$42-(SUM(AE220:$AE$245)-SUM(AJ220:$AK$245,AN220:$AN$245)),AE219-SUM(AJ219:AK219,AN219)))</f>
        <v>#DIV/0!</v>
      </c>
      <c r="AG219" s="89" t="e">
        <f t="shared" si="81"/>
        <v>#DIV/0!</v>
      </c>
      <c r="AH219" s="6" t="e">
        <f t="shared" si="103"/>
        <v>#DIV/0!</v>
      </c>
      <c r="AI219" s="6" t="e">
        <f t="shared" si="82"/>
        <v>#DIV/0!</v>
      </c>
      <c r="AJ219" s="6">
        <f t="shared" si="83"/>
        <v>0</v>
      </c>
      <c r="AK219" s="90">
        <f t="shared" si="84"/>
        <v>0</v>
      </c>
      <c r="AL219" s="6" t="e">
        <f t="shared" si="85"/>
        <v>#DIV/0!</v>
      </c>
      <c r="AM219" s="6" t="e">
        <f t="shared" si="104"/>
        <v>#NUM!</v>
      </c>
      <c r="AN219" s="6">
        <f t="shared" si="86"/>
        <v>0</v>
      </c>
      <c r="AO219" s="6" t="e">
        <f t="shared" si="87"/>
        <v>#DIV/0!</v>
      </c>
      <c r="AP219" s="15">
        <f>IFERROR(XIRR($AO$125:AO219,$D$125:D219),-100%)</f>
        <v>-1</v>
      </c>
      <c r="AQ219" s="129" t="e">
        <f t="shared" si="88"/>
        <v>#NUM!</v>
      </c>
      <c r="AR219" s="300">
        <v>0</v>
      </c>
      <c r="AS219" s="130" t="e">
        <f t="shared" si="89"/>
        <v>#DIV/0!</v>
      </c>
      <c r="AT219" s="10">
        <f>IFERROR(XIRR($AS$125:$AS219,$D$125:$D219),-100%)</f>
        <v>-1</v>
      </c>
      <c r="AU219" s="300">
        <v>0</v>
      </c>
      <c r="AV219" s="130" t="e">
        <f t="shared" si="90"/>
        <v>#DIV/0!</v>
      </c>
      <c r="AW219" s="131">
        <f>IFERROR(XIRR($AV$125:$AV219,$D$125:$D219),-100%)</f>
        <v>-1</v>
      </c>
      <c r="AX219" s="213">
        <f t="shared" si="105"/>
        <v>0</v>
      </c>
      <c r="AY219" s="200" t="e">
        <f t="shared" si="91"/>
        <v>#DIV/0!</v>
      </c>
      <c r="AZ219" s="159">
        <f t="shared" si="92"/>
        <v>0</v>
      </c>
      <c r="BA219" s="148" t="e">
        <f t="shared" si="106"/>
        <v>#NUM!</v>
      </c>
      <c r="BB219" s="6" t="e">
        <f t="shared" si="93"/>
        <v>#NUM!</v>
      </c>
      <c r="BC219" s="6" t="e">
        <f t="shared" si="94"/>
        <v>#NUM!</v>
      </c>
      <c r="BD219" s="149" t="e">
        <f t="shared" si="95"/>
        <v>#NUM!</v>
      </c>
      <c r="BE219" s="148" t="e">
        <f t="shared" si="107"/>
        <v>#NUM!</v>
      </c>
      <c r="BF219" s="6" t="e">
        <f t="shared" si="96"/>
        <v>#NUM!</v>
      </c>
      <c r="BG219" s="6" t="e">
        <f t="shared" si="97"/>
        <v>#DIV/0!</v>
      </c>
      <c r="BH219" s="6" t="e">
        <f t="shared" si="108"/>
        <v>#NUM!</v>
      </c>
      <c r="BI219" s="138" t="e">
        <f t="shared" si="98"/>
        <v>#DIV/0!</v>
      </c>
    </row>
    <row r="220" spans="1:61" x14ac:dyDescent="0.25">
      <c r="A220"/>
      <c r="B220" s="9">
        <f t="shared" si="109"/>
        <v>8</v>
      </c>
      <c r="C220" s="13">
        <v>95</v>
      </c>
      <c r="D220" s="12">
        <f t="shared" si="99"/>
        <v>2922</v>
      </c>
      <c r="E220" s="6">
        <f>INDEX(GC!$G$25:$G$144,MATCH($D220,GC!$C$25:$C$144,0))</f>
        <v>0</v>
      </c>
      <c r="F220" s="6">
        <f>INDEX(GC!$I$25:$I$144,MATCH($D220,GC!$C$25:$C$144,0))</f>
        <v>0</v>
      </c>
      <c r="G220" s="6">
        <f t="shared" si="100"/>
        <v>0</v>
      </c>
      <c r="H220" s="6">
        <f t="shared" si="62"/>
        <v>0</v>
      </c>
      <c r="I220" s="6">
        <f t="shared" si="110"/>
        <v>0</v>
      </c>
      <c r="J220" s="6">
        <f>IF(SUM($I$126:I220)&gt;$E$61, SUM($I$126:I220)-SUM($J$125:J219)-$E$61,0)</f>
        <v>0</v>
      </c>
      <c r="K220" s="6" t="e">
        <f t="shared" si="63"/>
        <v>#DIV/0!</v>
      </c>
      <c r="L220" s="6" t="e">
        <f t="shared" si="64"/>
        <v>#DIV/0!</v>
      </c>
      <c r="M220" s="6" t="e">
        <f t="shared" si="65"/>
        <v>#DIV/0!</v>
      </c>
      <c r="N220" s="6">
        <f t="shared" si="66"/>
        <v>0</v>
      </c>
      <c r="O220" s="6">
        <f t="shared" si="67"/>
        <v>0</v>
      </c>
      <c r="P220" s="6">
        <f t="shared" si="68"/>
        <v>0</v>
      </c>
      <c r="Q220" s="6">
        <f t="shared" si="69"/>
        <v>0</v>
      </c>
      <c r="R220" s="6" t="e">
        <f t="shared" si="101"/>
        <v>#DIV/0!</v>
      </c>
      <c r="S220" s="6" t="e">
        <f t="shared" si="70"/>
        <v>#DIV/0!</v>
      </c>
      <c r="T220" s="11" t="e">
        <f>SUM($R$126:R220)/($E$87)</f>
        <v>#DIV/0!</v>
      </c>
      <c r="U220" s="89" t="e">
        <f t="shared" si="71"/>
        <v>#DIV/0!</v>
      </c>
      <c r="V220" s="6" t="e">
        <f t="shared" si="72"/>
        <v>#DIV/0!</v>
      </c>
      <c r="W220" s="6" t="e">
        <f t="shared" si="102"/>
        <v>#DIV/0!</v>
      </c>
      <c r="X220" s="6" t="e">
        <f t="shared" si="73"/>
        <v>#DIV/0!</v>
      </c>
      <c r="Y220" s="6" t="e">
        <f t="shared" si="74"/>
        <v>#DIV/0!</v>
      </c>
      <c r="Z220" s="90" t="e">
        <f t="shared" si="75"/>
        <v>#DIV/0!</v>
      </c>
      <c r="AA220" s="89" t="e">
        <f t="shared" si="76"/>
        <v>#DIV/0!</v>
      </c>
      <c r="AB220" s="6" t="e">
        <f t="shared" si="77"/>
        <v>#DIV/0!</v>
      </c>
      <c r="AC220" s="6" t="e">
        <f t="shared" si="78"/>
        <v>#NUM!</v>
      </c>
      <c r="AD220" s="90" t="e">
        <f t="shared" si="79"/>
        <v>#NUM!</v>
      </c>
      <c r="AE220" s="6" t="e">
        <f t="shared" si="80"/>
        <v>#DIV/0!</v>
      </c>
      <c r="AF220" s="6" t="e">
        <f>IF(SUM(AE221:$AE$245)-SUM(AJ221:$AK$245,AN221:$AN$245)&gt;$E$42,0,IF(SUM($AF$125:AF219)=0,$E$42-(SUM(AE221:$AE$245)-SUM(AJ221:$AK$245,AN221:$AN$245)),AE220-SUM(AJ220:AK220,AN220)))</f>
        <v>#DIV/0!</v>
      </c>
      <c r="AG220" s="89" t="e">
        <f t="shared" si="81"/>
        <v>#DIV/0!</v>
      </c>
      <c r="AH220" s="6" t="e">
        <f t="shared" si="103"/>
        <v>#DIV/0!</v>
      </c>
      <c r="AI220" s="6" t="e">
        <f t="shared" si="82"/>
        <v>#DIV/0!</v>
      </c>
      <c r="AJ220" s="6">
        <f t="shared" si="83"/>
        <v>0</v>
      </c>
      <c r="AK220" s="90">
        <f t="shared" si="84"/>
        <v>0</v>
      </c>
      <c r="AL220" s="6" t="e">
        <f t="shared" si="85"/>
        <v>#DIV/0!</v>
      </c>
      <c r="AM220" s="6" t="e">
        <f t="shared" si="104"/>
        <v>#NUM!</v>
      </c>
      <c r="AN220" s="6">
        <f t="shared" si="86"/>
        <v>0</v>
      </c>
      <c r="AO220" s="6" t="e">
        <f t="shared" si="87"/>
        <v>#DIV/0!</v>
      </c>
      <c r="AP220" s="15">
        <f>IFERROR(XIRR($AO$125:AO220,$D$125:D220),-100%)</f>
        <v>-1</v>
      </c>
      <c r="AQ220" s="129" t="e">
        <f t="shared" si="88"/>
        <v>#NUM!</v>
      </c>
      <c r="AR220" s="300">
        <v>0</v>
      </c>
      <c r="AS220" s="130" t="e">
        <f t="shared" si="89"/>
        <v>#DIV/0!</v>
      </c>
      <c r="AT220" s="10">
        <f>IFERROR(XIRR($AS$125:$AS220,$D$125:$D220),-100%)</f>
        <v>-1</v>
      </c>
      <c r="AU220" s="300">
        <v>0</v>
      </c>
      <c r="AV220" s="130" t="e">
        <f t="shared" si="90"/>
        <v>#DIV/0!</v>
      </c>
      <c r="AW220" s="131">
        <f>IFERROR(XIRR($AV$125:$AV220,$D$125:$D220),-100%)</f>
        <v>-1</v>
      </c>
      <c r="AX220" s="213">
        <f t="shared" si="105"/>
        <v>0</v>
      </c>
      <c r="AY220" s="200" t="e">
        <f t="shared" si="91"/>
        <v>#DIV/0!</v>
      </c>
      <c r="AZ220" s="159">
        <f t="shared" si="92"/>
        <v>0</v>
      </c>
      <c r="BA220" s="148" t="e">
        <f t="shared" si="106"/>
        <v>#NUM!</v>
      </c>
      <c r="BB220" s="6" t="e">
        <f t="shared" si="93"/>
        <v>#NUM!</v>
      </c>
      <c r="BC220" s="6" t="e">
        <f t="shared" si="94"/>
        <v>#NUM!</v>
      </c>
      <c r="BD220" s="149" t="e">
        <f t="shared" si="95"/>
        <v>#NUM!</v>
      </c>
      <c r="BE220" s="148" t="e">
        <f t="shared" si="107"/>
        <v>#NUM!</v>
      </c>
      <c r="BF220" s="6" t="e">
        <f t="shared" si="96"/>
        <v>#NUM!</v>
      </c>
      <c r="BG220" s="6" t="e">
        <f t="shared" si="97"/>
        <v>#DIV/0!</v>
      </c>
      <c r="BH220" s="6" t="e">
        <f t="shared" si="108"/>
        <v>#NUM!</v>
      </c>
      <c r="BI220" s="138" t="e">
        <f t="shared" si="98"/>
        <v>#DIV/0!</v>
      </c>
    </row>
    <row r="221" spans="1:61" x14ac:dyDescent="0.25">
      <c r="A221"/>
      <c r="B221" s="9">
        <f t="shared" si="109"/>
        <v>8</v>
      </c>
      <c r="C221" s="13">
        <v>96</v>
      </c>
      <c r="D221" s="12">
        <f t="shared" si="99"/>
        <v>2953</v>
      </c>
      <c r="E221" s="6">
        <f>INDEX(GC!$G$25:$G$144,MATCH($D221,GC!$C$25:$C$144,0))</f>
        <v>0</v>
      </c>
      <c r="F221" s="6">
        <f>INDEX(GC!$I$25:$I$144,MATCH($D221,GC!$C$25:$C$144,0))</f>
        <v>0</v>
      </c>
      <c r="G221" s="6">
        <f t="shared" si="100"/>
        <v>0</v>
      </c>
      <c r="H221" s="6">
        <f t="shared" si="62"/>
        <v>0</v>
      </c>
      <c r="I221" s="6">
        <f t="shared" si="110"/>
        <v>0</v>
      </c>
      <c r="J221" s="6">
        <f>IF(SUM($I$126:I221)&gt;$E$61, SUM($I$126:I221)-SUM($J$125:J220)-$E$61,0)</f>
        <v>0</v>
      </c>
      <c r="K221" s="6" t="e">
        <f t="shared" si="63"/>
        <v>#DIV/0!</v>
      </c>
      <c r="L221" s="6" t="e">
        <f t="shared" si="64"/>
        <v>#DIV/0!</v>
      </c>
      <c r="M221" s="6" t="e">
        <f t="shared" si="65"/>
        <v>#DIV/0!</v>
      </c>
      <c r="N221" s="6">
        <f t="shared" si="66"/>
        <v>0</v>
      </c>
      <c r="O221" s="6">
        <f t="shared" si="67"/>
        <v>0</v>
      </c>
      <c r="P221" s="6">
        <f t="shared" si="68"/>
        <v>0</v>
      </c>
      <c r="Q221" s="6">
        <f t="shared" si="69"/>
        <v>0</v>
      </c>
      <c r="R221" s="6" t="e">
        <f t="shared" si="101"/>
        <v>#DIV/0!</v>
      </c>
      <c r="S221" s="6" t="e">
        <f t="shared" si="70"/>
        <v>#DIV/0!</v>
      </c>
      <c r="T221" s="11" t="e">
        <f>SUM($R$126:R221)/($E$87)</f>
        <v>#DIV/0!</v>
      </c>
      <c r="U221" s="89" t="e">
        <f t="shared" si="71"/>
        <v>#DIV/0!</v>
      </c>
      <c r="V221" s="6" t="e">
        <f t="shared" si="72"/>
        <v>#DIV/0!</v>
      </c>
      <c r="W221" s="6" t="e">
        <f t="shared" si="102"/>
        <v>#DIV/0!</v>
      </c>
      <c r="X221" s="6" t="e">
        <f t="shared" si="73"/>
        <v>#DIV/0!</v>
      </c>
      <c r="Y221" s="6" t="e">
        <f t="shared" si="74"/>
        <v>#DIV/0!</v>
      </c>
      <c r="Z221" s="90" t="e">
        <f t="shared" si="75"/>
        <v>#DIV/0!</v>
      </c>
      <c r="AA221" s="89" t="e">
        <f t="shared" si="76"/>
        <v>#DIV/0!</v>
      </c>
      <c r="AB221" s="6" t="e">
        <f t="shared" si="77"/>
        <v>#DIV/0!</v>
      </c>
      <c r="AC221" s="6" t="e">
        <f t="shared" si="78"/>
        <v>#NUM!</v>
      </c>
      <c r="AD221" s="90" t="e">
        <f t="shared" si="79"/>
        <v>#NUM!</v>
      </c>
      <c r="AE221" s="6" t="e">
        <f t="shared" si="80"/>
        <v>#DIV/0!</v>
      </c>
      <c r="AF221" s="6" t="e">
        <f>IF(SUM(AE222:$AE$245)-SUM(AJ222:$AK$245,AN222:$AN$245)&gt;$E$42,0,IF(SUM($AF$125:AF220)=0,$E$42-(SUM(AE222:$AE$245)-SUM(AJ222:$AK$245,AN222:$AN$245)),AE221-SUM(AJ221:AK221,AN221)))</f>
        <v>#DIV/0!</v>
      </c>
      <c r="AG221" s="89" t="e">
        <f t="shared" si="81"/>
        <v>#DIV/0!</v>
      </c>
      <c r="AH221" s="6" t="e">
        <f t="shared" si="103"/>
        <v>#DIV/0!</v>
      </c>
      <c r="AI221" s="6" t="e">
        <f t="shared" si="82"/>
        <v>#DIV/0!</v>
      </c>
      <c r="AJ221" s="6">
        <f t="shared" si="83"/>
        <v>0</v>
      </c>
      <c r="AK221" s="90">
        <f t="shared" si="84"/>
        <v>0</v>
      </c>
      <c r="AL221" s="6" t="e">
        <f t="shared" si="85"/>
        <v>#DIV/0!</v>
      </c>
      <c r="AM221" s="6" t="e">
        <f t="shared" si="104"/>
        <v>#NUM!</v>
      </c>
      <c r="AN221" s="6">
        <f t="shared" si="86"/>
        <v>0</v>
      </c>
      <c r="AO221" s="6" t="e">
        <f t="shared" si="87"/>
        <v>#DIV/0!</v>
      </c>
      <c r="AP221" s="15">
        <f>IFERROR(XIRR($AO$125:AO221,$D$125:D221),-100%)</f>
        <v>-1</v>
      </c>
      <c r="AQ221" s="129" t="e">
        <f t="shared" si="88"/>
        <v>#NUM!</v>
      </c>
      <c r="AR221" s="300">
        <v>0</v>
      </c>
      <c r="AS221" s="130" t="e">
        <f t="shared" si="89"/>
        <v>#DIV/0!</v>
      </c>
      <c r="AT221" s="10">
        <f>IFERROR(XIRR($AS$125:$AS221,$D$125:$D221),-100%)</f>
        <v>-1</v>
      </c>
      <c r="AU221" s="300">
        <v>0</v>
      </c>
      <c r="AV221" s="130" t="e">
        <f t="shared" si="90"/>
        <v>#DIV/0!</v>
      </c>
      <c r="AW221" s="131">
        <f>IFERROR(XIRR($AV$125:$AV221,$D$125:$D221),-100%)</f>
        <v>-1</v>
      </c>
      <c r="AX221" s="213">
        <f t="shared" si="105"/>
        <v>0</v>
      </c>
      <c r="AY221" s="200" t="e">
        <f t="shared" si="91"/>
        <v>#DIV/0!</v>
      </c>
      <c r="AZ221" s="159">
        <f t="shared" si="92"/>
        <v>0</v>
      </c>
      <c r="BA221" s="148" t="e">
        <f t="shared" si="106"/>
        <v>#NUM!</v>
      </c>
      <c r="BB221" s="6" t="e">
        <f t="shared" si="93"/>
        <v>#NUM!</v>
      </c>
      <c r="BC221" s="6" t="e">
        <f t="shared" si="94"/>
        <v>#NUM!</v>
      </c>
      <c r="BD221" s="149" t="e">
        <f t="shared" si="95"/>
        <v>#NUM!</v>
      </c>
      <c r="BE221" s="148" t="e">
        <f t="shared" si="107"/>
        <v>#NUM!</v>
      </c>
      <c r="BF221" s="6" t="e">
        <f t="shared" si="96"/>
        <v>#NUM!</v>
      </c>
      <c r="BG221" s="6" t="e">
        <f t="shared" si="97"/>
        <v>#DIV/0!</v>
      </c>
      <c r="BH221" s="6" t="e">
        <f t="shared" si="108"/>
        <v>#NUM!</v>
      </c>
      <c r="BI221" s="138" t="e">
        <f t="shared" si="98"/>
        <v>#DIV/0!</v>
      </c>
    </row>
    <row r="222" spans="1:61" x14ac:dyDescent="0.25">
      <c r="A222"/>
      <c r="B222" s="9">
        <f t="shared" si="109"/>
        <v>9</v>
      </c>
      <c r="C222" s="13">
        <v>97</v>
      </c>
      <c r="D222" s="12">
        <f t="shared" si="99"/>
        <v>2982</v>
      </c>
      <c r="E222" s="6">
        <f>INDEX(GC!$G$25:$G$144,MATCH($D222,GC!$C$25:$C$144,0))</f>
        <v>0</v>
      </c>
      <c r="F222" s="6">
        <f>INDEX(GC!$I$25:$I$144,MATCH($D222,GC!$C$25:$C$144,0))</f>
        <v>0</v>
      </c>
      <c r="G222" s="6">
        <f t="shared" si="100"/>
        <v>0</v>
      </c>
      <c r="H222" s="6">
        <f t="shared" si="62"/>
        <v>0</v>
      </c>
      <c r="I222" s="6">
        <f t="shared" si="110"/>
        <v>0</v>
      </c>
      <c r="J222" s="6">
        <f>IF(SUM($I$126:I222)&gt;$E$61, SUM($I$126:I222)-SUM($J$125:J221)-$E$61,0)</f>
        <v>0</v>
      </c>
      <c r="K222" s="6" t="e">
        <f t="shared" si="63"/>
        <v>#DIV/0!</v>
      </c>
      <c r="L222" s="6" t="e">
        <f t="shared" si="64"/>
        <v>#DIV/0!</v>
      </c>
      <c r="M222" s="6" t="e">
        <f t="shared" si="65"/>
        <v>#DIV/0!</v>
      </c>
      <c r="N222" s="6">
        <f t="shared" si="66"/>
        <v>0</v>
      </c>
      <c r="O222" s="6">
        <f t="shared" si="67"/>
        <v>0</v>
      </c>
      <c r="P222" s="6">
        <f t="shared" si="68"/>
        <v>0</v>
      </c>
      <c r="Q222" s="6">
        <f t="shared" si="69"/>
        <v>0</v>
      </c>
      <c r="R222" s="6" t="e">
        <f t="shared" si="101"/>
        <v>#DIV/0!</v>
      </c>
      <c r="S222" s="6" t="e">
        <f t="shared" si="70"/>
        <v>#DIV/0!</v>
      </c>
      <c r="T222" s="11" t="e">
        <f>SUM($R$126:R222)/($E$87)</f>
        <v>#DIV/0!</v>
      </c>
      <c r="U222" s="89" t="e">
        <f t="shared" si="71"/>
        <v>#DIV/0!</v>
      </c>
      <c r="V222" s="6" t="e">
        <f t="shared" si="72"/>
        <v>#DIV/0!</v>
      </c>
      <c r="W222" s="6" t="e">
        <f t="shared" si="102"/>
        <v>#DIV/0!</v>
      </c>
      <c r="X222" s="6" t="e">
        <f t="shared" si="73"/>
        <v>#DIV/0!</v>
      </c>
      <c r="Y222" s="6" t="e">
        <f t="shared" si="74"/>
        <v>#DIV/0!</v>
      </c>
      <c r="Z222" s="90" t="e">
        <f t="shared" si="75"/>
        <v>#DIV/0!</v>
      </c>
      <c r="AA222" s="89" t="e">
        <f t="shared" si="76"/>
        <v>#DIV/0!</v>
      </c>
      <c r="AB222" s="6" t="e">
        <f t="shared" si="77"/>
        <v>#DIV/0!</v>
      </c>
      <c r="AC222" s="6" t="e">
        <f t="shared" ref="AC222:AC245" si="111">BB222-SUM(J222:P222)-U222</f>
        <v>#NUM!</v>
      </c>
      <c r="AD222" s="90" t="e">
        <f t="shared" si="79"/>
        <v>#NUM!</v>
      </c>
      <c r="AE222" s="6" t="e">
        <f t="shared" si="80"/>
        <v>#DIV/0!</v>
      </c>
      <c r="AF222" s="6" t="e">
        <f>IF(SUM(AE223:$AE$245)-SUM(AJ223:$AK$245,AN223:$AN$245)&gt;$E$42,0,IF(SUM($AF$125:AF221)=0,$E$42-(SUM(AE223:$AE$245)-SUM(AJ223:$AK$245,AN223:$AN$245)),AE222-SUM(AJ222:AK222,AN222)))</f>
        <v>#DIV/0!</v>
      </c>
      <c r="AG222" s="89" t="e">
        <f t="shared" si="81"/>
        <v>#DIV/0!</v>
      </c>
      <c r="AH222" s="6" t="e">
        <f t="shared" si="103"/>
        <v>#DIV/0!</v>
      </c>
      <c r="AI222" s="6" t="e">
        <f t="shared" si="82"/>
        <v>#DIV/0!</v>
      </c>
      <c r="AJ222" s="6">
        <f t="shared" si="83"/>
        <v>0</v>
      </c>
      <c r="AK222" s="90">
        <f t="shared" si="84"/>
        <v>0</v>
      </c>
      <c r="AL222" s="6" t="e">
        <f t="shared" si="85"/>
        <v>#DIV/0!</v>
      </c>
      <c r="AM222" s="6" t="e">
        <f t="shared" si="104"/>
        <v>#NUM!</v>
      </c>
      <c r="AN222" s="6">
        <f t="shared" si="86"/>
        <v>0</v>
      </c>
      <c r="AO222" s="6" t="e">
        <f t="shared" si="87"/>
        <v>#DIV/0!</v>
      </c>
      <c r="AP222" s="15">
        <f>IFERROR(XIRR($AO$125:AO222,$D$125:D222),-100%)</f>
        <v>-1</v>
      </c>
      <c r="AQ222" s="129" t="e">
        <f t="shared" si="88"/>
        <v>#NUM!</v>
      </c>
      <c r="AR222" s="300">
        <v>0</v>
      </c>
      <c r="AS222" s="130" t="e">
        <f t="shared" ref="AS222:AS245" si="112">AO222-AR222</f>
        <v>#DIV/0!</v>
      </c>
      <c r="AT222" s="10">
        <f>IFERROR(XIRR($AS$125:$AS222,$D$125:$D222),-100%)</f>
        <v>-1</v>
      </c>
      <c r="AU222" s="300">
        <v>0</v>
      </c>
      <c r="AV222" s="130" t="e">
        <f t="shared" ref="AV222:AV245" si="113">AS222-AU222</f>
        <v>#DIV/0!</v>
      </c>
      <c r="AW222" s="131">
        <f>IFERROR(XIRR($AV$125:$AV222,$D$125:$D222),-100%)</f>
        <v>-1</v>
      </c>
      <c r="AX222" s="213">
        <f t="shared" si="105"/>
        <v>0</v>
      </c>
      <c r="AY222" s="200" t="e">
        <f t="shared" ref="AY222:AY245" si="114">IF(AO222=0,0,AR222/AO222)</f>
        <v>#DIV/0!</v>
      </c>
      <c r="AZ222" s="159">
        <f t="shared" ref="AZ222:AZ245" si="115">H222</f>
        <v>0</v>
      </c>
      <c r="BA222" s="148" t="e">
        <f t="shared" si="106"/>
        <v>#NUM!</v>
      </c>
      <c r="BB222" s="6" t="e">
        <f t="shared" ref="BB222:BB245" si="116">BA222*((1+$N$7)^(D222-D221)-1)</f>
        <v>#NUM!</v>
      </c>
      <c r="BC222" s="6" t="e">
        <f t="shared" ref="BC222:BC245" si="117">H222-BB222</f>
        <v>#NUM!</v>
      </c>
      <c r="BD222" s="149" t="e">
        <f t="shared" si="95"/>
        <v>#NUM!</v>
      </c>
      <c r="BE222" s="148" t="e">
        <f t="shared" si="107"/>
        <v>#NUM!</v>
      </c>
      <c r="BF222" s="6" t="e">
        <f t="shared" ref="BF222:BF245" si="118">BE222*((1+$Q$7)^(D222-D221)-1)</f>
        <v>#NUM!</v>
      </c>
      <c r="BG222" s="6" t="e">
        <f t="shared" ref="BG222:BG245" si="119">AL222-BF222</f>
        <v>#DIV/0!</v>
      </c>
      <c r="BH222" s="6" t="e">
        <f t="shared" si="108"/>
        <v>#NUM!</v>
      </c>
      <c r="BI222" s="138" t="e">
        <f t="shared" ref="BI222:BI245" si="120">IF(T221&gt;$E$28,2,IF(T221&gt;$E$26,1,0))</f>
        <v>#DIV/0!</v>
      </c>
    </row>
    <row r="223" spans="1:61" x14ac:dyDescent="0.25">
      <c r="A223"/>
      <c r="B223" s="9">
        <f t="shared" si="109"/>
        <v>9</v>
      </c>
      <c r="C223" s="13">
        <v>98</v>
      </c>
      <c r="D223" s="12">
        <f t="shared" si="99"/>
        <v>3013</v>
      </c>
      <c r="E223" s="6">
        <f>INDEX(GC!$G$25:$G$144,MATCH($D223,GC!$C$25:$C$144,0))</f>
        <v>0</v>
      </c>
      <c r="F223" s="247">
        <f>INDEX(GC!$I$25:$I$144,MATCH($D223,GC!$C$25:$C$144,0))</f>
        <v>0</v>
      </c>
      <c r="G223" s="6">
        <f t="shared" si="100"/>
        <v>0</v>
      </c>
      <c r="H223" s="6">
        <f t="shared" si="62"/>
        <v>0</v>
      </c>
      <c r="I223" s="6">
        <f t="shared" si="110"/>
        <v>0</v>
      </c>
      <c r="J223" s="6">
        <f>IF(SUM($I$126:I223)&gt;$E$61, SUM($I$126:I223)-SUM($J$125:J222)-$E$61,0)</f>
        <v>0</v>
      </c>
      <c r="K223" s="6" t="e">
        <f t="shared" si="63"/>
        <v>#DIV/0!</v>
      </c>
      <c r="L223" s="6" t="e">
        <f t="shared" si="64"/>
        <v>#DIV/0!</v>
      </c>
      <c r="M223" s="6" t="e">
        <f t="shared" si="65"/>
        <v>#DIV/0!</v>
      </c>
      <c r="N223" s="6">
        <f t="shared" si="66"/>
        <v>0</v>
      </c>
      <c r="O223" s="6">
        <f t="shared" si="67"/>
        <v>0</v>
      </c>
      <c r="P223" s="6">
        <f t="shared" si="68"/>
        <v>0</v>
      </c>
      <c r="Q223" s="6">
        <f t="shared" si="69"/>
        <v>0</v>
      </c>
      <c r="R223" s="6" t="e">
        <f t="shared" si="101"/>
        <v>#DIV/0!</v>
      </c>
      <c r="S223" s="6" t="e">
        <f t="shared" si="70"/>
        <v>#DIV/0!</v>
      </c>
      <c r="T223" s="11" t="e">
        <f>SUM($R$126:R223)/($E$87)</f>
        <v>#DIV/0!</v>
      </c>
      <c r="U223" s="89" t="e">
        <f t="shared" si="71"/>
        <v>#DIV/0!</v>
      </c>
      <c r="V223" s="6" t="e">
        <f t="shared" si="72"/>
        <v>#DIV/0!</v>
      </c>
      <c r="W223" s="6" t="e">
        <f t="shared" si="102"/>
        <v>#DIV/0!</v>
      </c>
      <c r="X223" s="6" t="e">
        <f t="shared" si="73"/>
        <v>#DIV/0!</v>
      </c>
      <c r="Y223" s="6" t="e">
        <f t="shared" si="74"/>
        <v>#DIV/0!</v>
      </c>
      <c r="Z223" s="90" t="e">
        <f t="shared" si="75"/>
        <v>#DIV/0!</v>
      </c>
      <c r="AA223" s="89" t="e">
        <f t="shared" si="76"/>
        <v>#DIV/0!</v>
      </c>
      <c r="AB223" s="6" t="e">
        <f t="shared" si="77"/>
        <v>#DIV/0!</v>
      </c>
      <c r="AC223" s="6" t="e">
        <f t="shared" si="111"/>
        <v>#NUM!</v>
      </c>
      <c r="AD223" s="90" t="e">
        <f t="shared" si="79"/>
        <v>#NUM!</v>
      </c>
      <c r="AE223" s="6" t="e">
        <f t="shared" si="80"/>
        <v>#DIV/0!</v>
      </c>
      <c r="AF223" s="6" t="e">
        <f>IF(SUM(AE224:$AE$245)-SUM(AJ224:$AK$245,AN224:$AN$245)&gt;$E$42,0,IF(SUM($AF$125:AF222)=0,$E$42-(SUM(AE224:$AE$245)-SUM(AJ224:$AK$245,AN224:$AN$245)),AE223-SUM(AJ223:AK223,AN223)))</f>
        <v>#DIV/0!</v>
      </c>
      <c r="AG223" s="89" t="e">
        <f t="shared" si="81"/>
        <v>#DIV/0!</v>
      </c>
      <c r="AH223" s="6" t="e">
        <f t="shared" si="103"/>
        <v>#DIV/0!</v>
      </c>
      <c r="AI223" s="6" t="e">
        <f t="shared" si="82"/>
        <v>#DIV/0!</v>
      </c>
      <c r="AJ223" s="6">
        <f t="shared" si="83"/>
        <v>0</v>
      </c>
      <c r="AK223" s="90">
        <f t="shared" si="84"/>
        <v>0</v>
      </c>
      <c r="AL223" s="6" t="e">
        <f t="shared" si="85"/>
        <v>#DIV/0!</v>
      </c>
      <c r="AM223" s="6" t="e">
        <f t="shared" si="104"/>
        <v>#NUM!</v>
      </c>
      <c r="AN223" s="6">
        <f t="shared" si="86"/>
        <v>0</v>
      </c>
      <c r="AO223" s="6" t="e">
        <f t="shared" si="87"/>
        <v>#DIV/0!</v>
      </c>
      <c r="AP223" s="15">
        <f>IFERROR(XIRR($AO$125:AO223,$D$125:D223),-100%)</f>
        <v>-1</v>
      </c>
      <c r="AQ223" s="129" t="e">
        <f t="shared" si="88"/>
        <v>#NUM!</v>
      </c>
      <c r="AR223" s="300">
        <v>0</v>
      </c>
      <c r="AS223" s="130" t="e">
        <f t="shared" si="112"/>
        <v>#DIV/0!</v>
      </c>
      <c r="AT223" s="10">
        <f>IFERROR(XIRR($AS$125:$AS223,$D$125:$D223),-100%)</f>
        <v>-1</v>
      </c>
      <c r="AU223" s="300">
        <v>0</v>
      </c>
      <c r="AV223" s="130" t="e">
        <f t="shared" si="113"/>
        <v>#DIV/0!</v>
      </c>
      <c r="AW223" s="131">
        <f>IFERROR(XIRR($AV$125:$AV223,$D$125:$D223),-100%)</f>
        <v>-1</v>
      </c>
      <c r="AX223" s="213">
        <f t="shared" si="105"/>
        <v>0</v>
      </c>
      <c r="AY223" s="200" t="e">
        <f t="shared" si="114"/>
        <v>#DIV/0!</v>
      </c>
      <c r="AZ223" s="159">
        <f t="shared" si="115"/>
        <v>0</v>
      </c>
      <c r="BA223" s="148" t="e">
        <f t="shared" si="106"/>
        <v>#NUM!</v>
      </c>
      <c r="BB223" s="6" t="e">
        <f t="shared" si="116"/>
        <v>#NUM!</v>
      </c>
      <c r="BC223" s="6" t="e">
        <f t="shared" si="117"/>
        <v>#NUM!</v>
      </c>
      <c r="BD223" s="149" t="e">
        <f t="shared" si="95"/>
        <v>#NUM!</v>
      </c>
      <c r="BE223" s="148" t="e">
        <f t="shared" si="107"/>
        <v>#NUM!</v>
      </c>
      <c r="BF223" s="6" t="e">
        <f t="shared" si="118"/>
        <v>#NUM!</v>
      </c>
      <c r="BG223" s="6" t="e">
        <f t="shared" si="119"/>
        <v>#DIV/0!</v>
      </c>
      <c r="BH223" s="6" t="e">
        <f t="shared" si="108"/>
        <v>#NUM!</v>
      </c>
      <c r="BI223" s="138" t="e">
        <f t="shared" si="120"/>
        <v>#DIV/0!</v>
      </c>
    </row>
    <row r="224" spans="1:61" x14ac:dyDescent="0.25">
      <c r="A224"/>
      <c r="B224" s="9">
        <f t="shared" si="109"/>
        <v>9</v>
      </c>
      <c r="C224" s="13">
        <v>99</v>
      </c>
      <c r="D224" s="12">
        <f t="shared" si="99"/>
        <v>3043</v>
      </c>
      <c r="E224" s="6">
        <f>INDEX(GC!$G$25:$G$144,MATCH($D224,GC!$C$25:$C$144,0))</f>
        <v>0</v>
      </c>
      <c r="F224" s="247">
        <f>INDEX(GC!$I$25:$I$144,MATCH($D224,GC!$C$25:$C$144,0))</f>
        <v>0</v>
      </c>
      <c r="G224" s="6">
        <f t="shared" si="100"/>
        <v>0</v>
      </c>
      <c r="H224" s="6">
        <f t="shared" si="62"/>
        <v>0</v>
      </c>
      <c r="I224" s="6">
        <f t="shared" si="110"/>
        <v>0</v>
      </c>
      <c r="J224" s="6">
        <f>IF(SUM($I$126:I224)&gt;$E$61, SUM($I$126:I224)-SUM($J$125:J223)-$E$61,0)</f>
        <v>0</v>
      </c>
      <c r="K224" s="6" t="e">
        <f t="shared" si="63"/>
        <v>#DIV/0!</v>
      </c>
      <c r="L224" s="6" t="e">
        <f t="shared" si="64"/>
        <v>#DIV/0!</v>
      </c>
      <c r="M224" s="6" t="e">
        <f t="shared" si="65"/>
        <v>#DIV/0!</v>
      </c>
      <c r="N224" s="6">
        <f t="shared" si="66"/>
        <v>0</v>
      </c>
      <c r="O224" s="6">
        <f t="shared" si="67"/>
        <v>0</v>
      </c>
      <c r="P224" s="6">
        <f t="shared" si="68"/>
        <v>0</v>
      </c>
      <c r="Q224" s="6">
        <f t="shared" si="69"/>
        <v>0</v>
      </c>
      <c r="R224" s="6" t="e">
        <f t="shared" si="101"/>
        <v>#DIV/0!</v>
      </c>
      <c r="S224" s="6" t="e">
        <f t="shared" si="70"/>
        <v>#DIV/0!</v>
      </c>
      <c r="T224" s="11" t="e">
        <f>SUM($R$126:R224)/($E$87)</f>
        <v>#DIV/0!</v>
      </c>
      <c r="U224" s="89" t="e">
        <f t="shared" si="71"/>
        <v>#DIV/0!</v>
      </c>
      <c r="V224" s="6" t="e">
        <f t="shared" si="72"/>
        <v>#DIV/0!</v>
      </c>
      <c r="W224" s="6" t="e">
        <f t="shared" si="102"/>
        <v>#DIV/0!</v>
      </c>
      <c r="X224" s="6" t="e">
        <f t="shared" si="73"/>
        <v>#DIV/0!</v>
      </c>
      <c r="Y224" s="6" t="e">
        <f t="shared" si="74"/>
        <v>#DIV/0!</v>
      </c>
      <c r="Z224" s="90" t="e">
        <f t="shared" si="75"/>
        <v>#DIV/0!</v>
      </c>
      <c r="AA224" s="89" t="e">
        <f t="shared" si="76"/>
        <v>#DIV/0!</v>
      </c>
      <c r="AB224" s="6" t="e">
        <f t="shared" si="77"/>
        <v>#DIV/0!</v>
      </c>
      <c r="AC224" s="6" t="e">
        <f t="shared" si="111"/>
        <v>#NUM!</v>
      </c>
      <c r="AD224" s="90" t="e">
        <f t="shared" si="79"/>
        <v>#NUM!</v>
      </c>
      <c r="AE224" s="6" t="e">
        <f t="shared" si="80"/>
        <v>#DIV/0!</v>
      </c>
      <c r="AF224" s="6" t="e">
        <f>IF(SUM(AE225:$AE$245)-SUM(AJ225:$AK$245,AN225:$AN$245)&gt;$E$42,0,IF(SUM($AF$125:AF223)=0,$E$42-(SUM(AE225:$AE$245)-SUM(AJ225:$AK$245,AN225:$AN$245)),AE224-SUM(AJ224:AK224,AN224)))</f>
        <v>#DIV/0!</v>
      </c>
      <c r="AG224" s="89" t="e">
        <f t="shared" si="81"/>
        <v>#DIV/0!</v>
      </c>
      <c r="AH224" s="6" t="e">
        <f t="shared" si="103"/>
        <v>#DIV/0!</v>
      </c>
      <c r="AI224" s="6" t="e">
        <f t="shared" si="82"/>
        <v>#DIV/0!</v>
      </c>
      <c r="AJ224" s="6">
        <f t="shared" si="83"/>
        <v>0</v>
      </c>
      <c r="AK224" s="90">
        <f t="shared" si="84"/>
        <v>0</v>
      </c>
      <c r="AL224" s="6" t="e">
        <f t="shared" si="85"/>
        <v>#DIV/0!</v>
      </c>
      <c r="AM224" s="6" t="e">
        <f t="shared" si="104"/>
        <v>#NUM!</v>
      </c>
      <c r="AN224" s="6">
        <f t="shared" si="86"/>
        <v>0</v>
      </c>
      <c r="AO224" s="6" t="e">
        <f t="shared" si="87"/>
        <v>#DIV/0!</v>
      </c>
      <c r="AP224" s="15">
        <f>IFERROR(XIRR($AO$125:AO224,$D$125:D224),-100%)</f>
        <v>-1</v>
      </c>
      <c r="AQ224" s="129" t="e">
        <f t="shared" si="88"/>
        <v>#NUM!</v>
      </c>
      <c r="AR224" s="300">
        <v>0</v>
      </c>
      <c r="AS224" s="130" t="e">
        <f t="shared" si="112"/>
        <v>#DIV/0!</v>
      </c>
      <c r="AT224" s="10">
        <f>IFERROR(XIRR($AS$125:$AS224,$D$125:$D224),-100%)</f>
        <v>-1</v>
      </c>
      <c r="AU224" s="300">
        <v>0</v>
      </c>
      <c r="AV224" s="130" t="e">
        <f t="shared" si="113"/>
        <v>#DIV/0!</v>
      </c>
      <c r="AW224" s="131">
        <f>IFERROR(XIRR($AV$125:$AV224,$D$125:$D224),-100%)</f>
        <v>-1</v>
      </c>
      <c r="AX224" s="213">
        <f t="shared" si="105"/>
        <v>0</v>
      </c>
      <c r="AY224" s="200" t="e">
        <f t="shared" si="114"/>
        <v>#DIV/0!</v>
      </c>
      <c r="AZ224" s="159">
        <f t="shared" si="115"/>
        <v>0</v>
      </c>
      <c r="BA224" s="148" t="e">
        <f t="shared" si="106"/>
        <v>#NUM!</v>
      </c>
      <c r="BB224" s="6" t="e">
        <f t="shared" si="116"/>
        <v>#NUM!</v>
      </c>
      <c r="BC224" s="6" t="e">
        <f t="shared" si="117"/>
        <v>#NUM!</v>
      </c>
      <c r="BD224" s="149" t="e">
        <f t="shared" si="95"/>
        <v>#NUM!</v>
      </c>
      <c r="BE224" s="148" t="e">
        <f t="shared" si="107"/>
        <v>#NUM!</v>
      </c>
      <c r="BF224" s="6" t="e">
        <f t="shared" si="118"/>
        <v>#NUM!</v>
      </c>
      <c r="BG224" s="6" t="e">
        <f t="shared" si="119"/>
        <v>#DIV/0!</v>
      </c>
      <c r="BH224" s="6" t="e">
        <f t="shared" si="108"/>
        <v>#NUM!</v>
      </c>
      <c r="BI224" s="138" t="e">
        <f t="shared" si="120"/>
        <v>#DIV/0!</v>
      </c>
    </row>
    <row r="225" spans="1:61" x14ac:dyDescent="0.25">
      <c r="A225"/>
      <c r="B225" s="9">
        <f t="shared" si="109"/>
        <v>9</v>
      </c>
      <c r="C225" s="13">
        <v>100</v>
      </c>
      <c r="D225" s="12">
        <f t="shared" si="99"/>
        <v>3074</v>
      </c>
      <c r="E225" s="6">
        <f>INDEX(GC!$G$25:$G$144,MATCH($D225,GC!$C$25:$C$144,0))</f>
        <v>0</v>
      </c>
      <c r="F225" s="247">
        <f>INDEX(GC!$I$25:$I$144,MATCH($D225,GC!$C$25:$C$144,0))</f>
        <v>0</v>
      </c>
      <c r="G225" s="6">
        <f t="shared" si="100"/>
        <v>0</v>
      </c>
      <c r="H225" s="6">
        <f t="shared" si="62"/>
        <v>0</v>
      </c>
      <c r="I225" s="6">
        <f t="shared" si="110"/>
        <v>0</v>
      </c>
      <c r="J225" s="6">
        <f>IF(SUM($I$126:I225)&gt;$E$61, SUM($I$126:I225)-SUM($J$125:J224)-$E$61,0)</f>
        <v>0</v>
      </c>
      <c r="K225" s="6" t="e">
        <f t="shared" si="63"/>
        <v>#DIV/0!</v>
      </c>
      <c r="L225" s="6" t="e">
        <f t="shared" si="64"/>
        <v>#DIV/0!</v>
      </c>
      <c r="M225" s="6" t="e">
        <f t="shared" si="65"/>
        <v>#DIV/0!</v>
      </c>
      <c r="N225" s="6">
        <f t="shared" si="66"/>
        <v>0</v>
      </c>
      <c r="O225" s="6">
        <f t="shared" si="67"/>
        <v>0</v>
      </c>
      <c r="P225" s="6">
        <f t="shared" si="68"/>
        <v>0</v>
      </c>
      <c r="Q225" s="6">
        <f t="shared" si="69"/>
        <v>0</v>
      </c>
      <c r="R225" s="6" t="e">
        <f t="shared" si="101"/>
        <v>#DIV/0!</v>
      </c>
      <c r="S225" s="6" t="e">
        <f t="shared" si="70"/>
        <v>#DIV/0!</v>
      </c>
      <c r="T225" s="11" t="e">
        <f>SUM($R$126:R225)/($E$87)</f>
        <v>#DIV/0!</v>
      </c>
      <c r="U225" s="89" t="e">
        <f t="shared" si="71"/>
        <v>#DIV/0!</v>
      </c>
      <c r="V225" s="6" t="e">
        <f t="shared" si="72"/>
        <v>#DIV/0!</v>
      </c>
      <c r="W225" s="6" t="e">
        <f t="shared" si="102"/>
        <v>#DIV/0!</v>
      </c>
      <c r="X225" s="6" t="e">
        <f t="shared" si="73"/>
        <v>#DIV/0!</v>
      </c>
      <c r="Y225" s="6" t="e">
        <f t="shared" si="74"/>
        <v>#DIV/0!</v>
      </c>
      <c r="Z225" s="90" t="e">
        <f t="shared" si="75"/>
        <v>#DIV/0!</v>
      </c>
      <c r="AA225" s="89" t="e">
        <f t="shared" si="76"/>
        <v>#DIV/0!</v>
      </c>
      <c r="AB225" s="6" t="e">
        <f t="shared" si="77"/>
        <v>#DIV/0!</v>
      </c>
      <c r="AC225" s="6" t="e">
        <f t="shared" si="111"/>
        <v>#NUM!</v>
      </c>
      <c r="AD225" s="90" t="e">
        <f t="shared" si="79"/>
        <v>#NUM!</v>
      </c>
      <c r="AE225" s="6" t="e">
        <f t="shared" si="80"/>
        <v>#DIV/0!</v>
      </c>
      <c r="AF225" s="6" t="e">
        <f>IF(SUM(AE226:$AE$245)-SUM(AJ226:$AK$245,AN226:$AN$245)&gt;$E$42,0,IF(SUM($AF$125:AF224)=0,$E$42-(SUM(AE226:$AE$245)-SUM(AJ226:$AK$245,AN226:$AN$245)),AE225-SUM(AJ225:AK225,AN225)))</f>
        <v>#DIV/0!</v>
      </c>
      <c r="AG225" s="89" t="e">
        <f t="shared" si="81"/>
        <v>#DIV/0!</v>
      </c>
      <c r="AH225" s="6" t="e">
        <f t="shared" si="103"/>
        <v>#DIV/0!</v>
      </c>
      <c r="AI225" s="6" t="e">
        <f t="shared" si="82"/>
        <v>#DIV/0!</v>
      </c>
      <c r="AJ225" s="6">
        <f t="shared" si="83"/>
        <v>0</v>
      </c>
      <c r="AK225" s="90">
        <f t="shared" si="84"/>
        <v>0</v>
      </c>
      <c r="AL225" s="6" t="e">
        <f t="shared" si="85"/>
        <v>#DIV/0!</v>
      </c>
      <c r="AM225" s="6" t="e">
        <f t="shared" si="104"/>
        <v>#NUM!</v>
      </c>
      <c r="AN225" s="6">
        <f t="shared" si="86"/>
        <v>0</v>
      </c>
      <c r="AO225" s="6" t="e">
        <f t="shared" si="87"/>
        <v>#DIV/0!</v>
      </c>
      <c r="AP225" s="15">
        <f>IFERROR(XIRR($AO$125:AO225,$D$125:D225),-100%)</f>
        <v>-1</v>
      </c>
      <c r="AQ225" s="129" t="e">
        <f t="shared" si="88"/>
        <v>#NUM!</v>
      </c>
      <c r="AR225" s="300">
        <v>0</v>
      </c>
      <c r="AS225" s="130" t="e">
        <f t="shared" si="112"/>
        <v>#DIV/0!</v>
      </c>
      <c r="AT225" s="10">
        <f>IFERROR(XIRR($AS$125:$AS225,$D$125:$D225),-100%)</f>
        <v>-1</v>
      </c>
      <c r="AU225" s="300">
        <v>0</v>
      </c>
      <c r="AV225" s="130" t="e">
        <f t="shared" si="113"/>
        <v>#DIV/0!</v>
      </c>
      <c r="AW225" s="131">
        <f>IFERROR(XIRR($AV$125:$AV225,$D$125:$D225),-100%)</f>
        <v>-1</v>
      </c>
      <c r="AX225" s="213">
        <f t="shared" si="105"/>
        <v>0</v>
      </c>
      <c r="AY225" s="200" t="e">
        <f t="shared" si="114"/>
        <v>#DIV/0!</v>
      </c>
      <c r="AZ225" s="159">
        <f t="shared" si="115"/>
        <v>0</v>
      </c>
      <c r="BA225" s="148" t="e">
        <f t="shared" si="106"/>
        <v>#NUM!</v>
      </c>
      <c r="BB225" s="6" t="e">
        <f t="shared" si="116"/>
        <v>#NUM!</v>
      </c>
      <c r="BC225" s="6" t="e">
        <f t="shared" si="117"/>
        <v>#NUM!</v>
      </c>
      <c r="BD225" s="149" t="e">
        <f t="shared" si="95"/>
        <v>#NUM!</v>
      </c>
      <c r="BE225" s="148" t="e">
        <f t="shared" si="107"/>
        <v>#NUM!</v>
      </c>
      <c r="BF225" s="6" t="e">
        <f t="shared" si="118"/>
        <v>#NUM!</v>
      </c>
      <c r="BG225" s="6" t="e">
        <f t="shared" si="119"/>
        <v>#DIV/0!</v>
      </c>
      <c r="BH225" s="6" t="e">
        <f t="shared" si="108"/>
        <v>#NUM!</v>
      </c>
      <c r="BI225" s="138" t="e">
        <f t="shared" si="120"/>
        <v>#DIV/0!</v>
      </c>
    </row>
    <row r="226" spans="1:61" x14ac:dyDescent="0.25">
      <c r="A226"/>
      <c r="B226" s="9">
        <f t="shared" si="109"/>
        <v>9</v>
      </c>
      <c r="C226" s="13">
        <v>101</v>
      </c>
      <c r="D226" s="12">
        <f t="shared" si="99"/>
        <v>3104</v>
      </c>
      <c r="E226" s="6">
        <f>INDEX(GC!$G$25:$G$144,MATCH($D226,GC!$C$25:$C$144,0))</f>
        <v>0</v>
      </c>
      <c r="F226" s="247">
        <f>INDEX(GC!$I$25:$I$144,MATCH($D226,GC!$C$25:$C$144,0))</f>
        <v>0</v>
      </c>
      <c r="G226" s="6">
        <f t="shared" si="100"/>
        <v>0</v>
      </c>
      <c r="H226" s="6">
        <f t="shared" si="62"/>
        <v>0</v>
      </c>
      <c r="I226" s="6">
        <f t="shared" si="110"/>
        <v>0</v>
      </c>
      <c r="J226" s="6">
        <f>IF(SUM($I$126:I226)&gt;$E$61, SUM($I$126:I226)-SUM($J$125:J225)-$E$61,0)</f>
        <v>0</v>
      </c>
      <c r="K226" s="6" t="e">
        <f t="shared" si="63"/>
        <v>#DIV/0!</v>
      </c>
      <c r="L226" s="6" t="e">
        <f t="shared" si="64"/>
        <v>#DIV/0!</v>
      </c>
      <c r="M226" s="6" t="e">
        <f t="shared" si="65"/>
        <v>#DIV/0!</v>
      </c>
      <c r="N226" s="6">
        <f t="shared" si="66"/>
        <v>0</v>
      </c>
      <c r="O226" s="6">
        <f t="shared" si="67"/>
        <v>0</v>
      </c>
      <c r="P226" s="6">
        <f t="shared" si="68"/>
        <v>0</v>
      </c>
      <c r="Q226" s="6">
        <f t="shared" si="69"/>
        <v>0</v>
      </c>
      <c r="R226" s="6" t="e">
        <f t="shared" si="101"/>
        <v>#DIV/0!</v>
      </c>
      <c r="S226" s="6" t="e">
        <f t="shared" si="70"/>
        <v>#DIV/0!</v>
      </c>
      <c r="T226" s="11" t="e">
        <f>SUM($R$126:R226)/($E$87)</f>
        <v>#DIV/0!</v>
      </c>
      <c r="U226" s="89" t="e">
        <f t="shared" si="71"/>
        <v>#DIV/0!</v>
      </c>
      <c r="V226" s="6" t="e">
        <f t="shared" si="72"/>
        <v>#DIV/0!</v>
      </c>
      <c r="W226" s="6" t="e">
        <f t="shared" si="102"/>
        <v>#DIV/0!</v>
      </c>
      <c r="X226" s="6" t="e">
        <f t="shared" si="73"/>
        <v>#DIV/0!</v>
      </c>
      <c r="Y226" s="6" t="e">
        <f t="shared" si="74"/>
        <v>#DIV/0!</v>
      </c>
      <c r="Z226" s="90" t="e">
        <f t="shared" si="75"/>
        <v>#DIV/0!</v>
      </c>
      <c r="AA226" s="89" t="e">
        <f t="shared" si="76"/>
        <v>#DIV/0!</v>
      </c>
      <c r="AB226" s="6" t="e">
        <f t="shared" si="77"/>
        <v>#DIV/0!</v>
      </c>
      <c r="AC226" s="6" t="e">
        <f t="shared" si="111"/>
        <v>#NUM!</v>
      </c>
      <c r="AD226" s="90" t="e">
        <f t="shared" si="79"/>
        <v>#NUM!</v>
      </c>
      <c r="AE226" s="6" t="e">
        <f t="shared" si="80"/>
        <v>#DIV/0!</v>
      </c>
      <c r="AF226" s="6" t="e">
        <f>IF(SUM(AE227:$AE$245)-SUM(AJ227:$AK$245,AN227:$AN$245)&gt;$E$42,0,IF(SUM($AF$125:AF225)=0,$E$42-(SUM(AE227:$AE$245)-SUM(AJ227:$AK$245,AN227:$AN$245)),AE226-SUM(AJ226:AK226,AN226)))</f>
        <v>#DIV/0!</v>
      </c>
      <c r="AG226" s="89" t="e">
        <f t="shared" si="81"/>
        <v>#DIV/0!</v>
      </c>
      <c r="AH226" s="6" t="e">
        <f t="shared" si="103"/>
        <v>#DIV/0!</v>
      </c>
      <c r="AI226" s="6" t="e">
        <f t="shared" si="82"/>
        <v>#DIV/0!</v>
      </c>
      <c r="AJ226" s="6">
        <f t="shared" si="83"/>
        <v>0</v>
      </c>
      <c r="AK226" s="90">
        <f t="shared" si="84"/>
        <v>0</v>
      </c>
      <c r="AL226" s="6" t="e">
        <f t="shared" si="85"/>
        <v>#DIV/0!</v>
      </c>
      <c r="AM226" s="6" t="e">
        <f t="shared" si="104"/>
        <v>#NUM!</v>
      </c>
      <c r="AN226" s="6">
        <f t="shared" si="86"/>
        <v>0</v>
      </c>
      <c r="AO226" s="6" t="e">
        <f t="shared" si="87"/>
        <v>#DIV/0!</v>
      </c>
      <c r="AP226" s="15">
        <f>IFERROR(XIRR($AO$125:AO226,$D$125:D226),-100%)</f>
        <v>-1</v>
      </c>
      <c r="AQ226" s="129" t="e">
        <f t="shared" si="88"/>
        <v>#NUM!</v>
      </c>
      <c r="AR226" s="300">
        <v>0</v>
      </c>
      <c r="AS226" s="130" t="e">
        <f t="shared" si="112"/>
        <v>#DIV/0!</v>
      </c>
      <c r="AT226" s="10">
        <f>IFERROR(XIRR($AS$125:$AS226,$D$125:$D226),-100%)</f>
        <v>-1</v>
      </c>
      <c r="AU226" s="300">
        <v>0</v>
      </c>
      <c r="AV226" s="130" t="e">
        <f t="shared" si="113"/>
        <v>#DIV/0!</v>
      </c>
      <c r="AW226" s="131">
        <f>IFERROR(XIRR($AV$125:$AV226,$D$125:$D226),-100%)</f>
        <v>-1</v>
      </c>
      <c r="AX226" s="213">
        <f t="shared" si="105"/>
        <v>0</v>
      </c>
      <c r="AY226" s="200" t="e">
        <f t="shared" si="114"/>
        <v>#DIV/0!</v>
      </c>
      <c r="AZ226" s="159">
        <f t="shared" si="115"/>
        <v>0</v>
      </c>
      <c r="BA226" s="148" t="e">
        <f t="shared" si="106"/>
        <v>#NUM!</v>
      </c>
      <c r="BB226" s="6" t="e">
        <f t="shared" si="116"/>
        <v>#NUM!</v>
      </c>
      <c r="BC226" s="6" t="e">
        <f t="shared" si="117"/>
        <v>#NUM!</v>
      </c>
      <c r="BD226" s="149" t="e">
        <f t="shared" si="95"/>
        <v>#NUM!</v>
      </c>
      <c r="BE226" s="148" t="e">
        <f t="shared" si="107"/>
        <v>#NUM!</v>
      </c>
      <c r="BF226" s="6" t="e">
        <f t="shared" si="118"/>
        <v>#NUM!</v>
      </c>
      <c r="BG226" s="6" t="e">
        <f t="shared" si="119"/>
        <v>#DIV/0!</v>
      </c>
      <c r="BH226" s="6" t="e">
        <f t="shared" si="108"/>
        <v>#NUM!</v>
      </c>
      <c r="BI226" s="138" t="e">
        <f t="shared" si="120"/>
        <v>#DIV/0!</v>
      </c>
    </row>
    <row r="227" spans="1:61" x14ac:dyDescent="0.25">
      <c r="A227"/>
      <c r="B227" s="9">
        <f t="shared" si="109"/>
        <v>9</v>
      </c>
      <c r="C227" s="13">
        <v>102</v>
      </c>
      <c r="D227" s="12">
        <f t="shared" si="99"/>
        <v>3135</v>
      </c>
      <c r="E227" s="6">
        <f>INDEX(GC!$G$25:$G$144,MATCH($D227,GC!$C$25:$C$144,0))</f>
        <v>0</v>
      </c>
      <c r="F227" s="247">
        <f>INDEX(GC!$I$25:$I$144,MATCH($D227,GC!$C$25:$C$144,0))</f>
        <v>0</v>
      </c>
      <c r="G227" s="6">
        <f t="shared" si="100"/>
        <v>0</v>
      </c>
      <c r="H227" s="6">
        <f t="shared" si="62"/>
        <v>0</v>
      </c>
      <c r="I227" s="6">
        <f t="shared" si="110"/>
        <v>0</v>
      </c>
      <c r="J227" s="6">
        <f>IF(SUM($I$126:I227)&gt;$E$61, SUM($I$126:I227)-SUM($J$125:J226)-$E$61,0)</f>
        <v>0</v>
      </c>
      <c r="K227" s="6" t="e">
        <f t="shared" si="63"/>
        <v>#DIV/0!</v>
      </c>
      <c r="L227" s="6" t="e">
        <f t="shared" si="64"/>
        <v>#DIV/0!</v>
      </c>
      <c r="M227" s="6" t="e">
        <f t="shared" si="65"/>
        <v>#DIV/0!</v>
      </c>
      <c r="N227" s="6">
        <f t="shared" si="66"/>
        <v>0</v>
      </c>
      <c r="O227" s="6">
        <f t="shared" si="67"/>
        <v>0</v>
      </c>
      <c r="P227" s="6">
        <f t="shared" si="68"/>
        <v>0</v>
      </c>
      <c r="Q227" s="6">
        <f t="shared" si="69"/>
        <v>0</v>
      </c>
      <c r="R227" s="6" t="e">
        <f t="shared" si="101"/>
        <v>#DIV/0!</v>
      </c>
      <c r="S227" s="6" t="e">
        <f t="shared" si="70"/>
        <v>#DIV/0!</v>
      </c>
      <c r="T227" s="11" t="e">
        <f>SUM($R$126:R227)/($E$87)</f>
        <v>#DIV/0!</v>
      </c>
      <c r="U227" s="89" t="e">
        <f t="shared" si="71"/>
        <v>#DIV/0!</v>
      </c>
      <c r="V227" s="6" t="e">
        <f t="shared" si="72"/>
        <v>#DIV/0!</v>
      </c>
      <c r="W227" s="6" t="e">
        <f t="shared" si="102"/>
        <v>#DIV/0!</v>
      </c>
      <c r="X227" s="6" t="e">
        <f t="shared" si="73"/>
        <v>#DIV/0!</v>
      </c>
      <c r="Y227" s="6" t="e">
        <f t="shared" si="74"/>
        <v>#DIV/0!</v>
      </c>
      <c r="Z227" s="90" t="e">
        <f t="shared" si="75"/>
        <v>#DIV/0!</v>
      </c>
      <c r="AA227" s="89" t="e">
        <f t="shared" si="76"/>
        <v>#DIV/0!</v>
      </c>
      <c r="AB227" s="6" t="e">
        <f t="shared" si="77"/>
        <v>#DIV/0!</v>
      </c>
      <c r="AC227" s="6" t="e">
        <f t="shared" si="111"/>
        <v>#NUM!</v>
      </c>
      <c r="AD227" s="90" t="e">
        <f t="shared" si="79"/>
        <v>#NUM!</v>
      </c>
      <c r="AE227" s="6" t="e">
        <f t="shared" si="80"/>
        <v>#DIV/0!</v>
      </c>
      <c r="AF227" s="6" t="e">
        <f>IF(SUM(AE228:$AE$245)-SUM(AJ228:$AK$245,AN228:$AN$245)&gt;$E$42,0,IF(SUM($AF$125:AF226)=0,$E$42-(SUM(AE228:$AE$245)-SUM(AJ228:$AK$245,AN228:$AN$245)),AE227-SUM(AJ227:AK227,AN227)))</f>
        <v>#DIV/0!</v>
      </c>
      <c r="AG227" s="89" t="e">
        <f t="shared" si="81"/>
        <v>#DIV/0!</v>
      </c>
      <c r="AH227" s="6" t="e">
        <f t="shared" si="103"/>
        <v>#DIV/0!</v>
      </c>
      <c r="AI227" s="6" t="e">
        <f t="shared" si="82"/>
        <v>#DIV/0!</v>
      </c>
      <c r="AJ227" s="6">
        <f t="shared" si="83"/>
        <v>0</v>
      </c>
      <c r="AK227" s="90">
        <f t="shared" si="84"/>
        <v>0</v>
      </c>
      <c r="AL227" s="6" t="e">
        <f t="shared" si="85"/>
        <v>#DIV/0!</v>
      </c>
      <c r="AM227" s="6" t="e">
        <f t="shared" si="104"/>
        <v>#NUM!</v>
      </c>
      <c r="AN227" s="6">
        <f t="shared" si="86"/>
        <v>0</v>
      </c>
      <c r="AO227" s="6" t="e">
        <f t="shared" si="87"/>
        <v>#DIV/0!</v>
      </c>
      <c r="AP227" s="15">
        <f>IFERROR(XIRR($AO$125:AO227,$D$125:D227),-100%)</f>
        <v>-1</v>
      </c>
      <c r="AQ227" s="129" t="e">
        <f t="shared" si="88"/>
        <v>#NUM!</v>
      </c>
      <c r="AR227" s="300">
        <v>0</v>
      </c>
      <c r="AS227" s="130" t="e">
        <f t="shared" si="112"/>
        <v>#DIV/0!</v>
      </c>
      <c r="AT227" s="10">
        <f>IFERROR(XIRR($AS$125:$AS227,$D$125:$D227),-100%)</f>
        <v>-1</v>
      </c>
      <c r="AU227" s="300">
        <v>0</v>
      </c>
      <c r="AV227" s="130" t="e">
        <f t="shared" si="113"/>
        <v>#DIV/0!</v>
      </c>
      <c r="AW227" s="131">
        <f>IFERROR(XIRR($AV$125:$AV227,$D$125:$D227),-100%)</f>
        <v>-1</v>
      </c>
      <c r="AX227" s="213">
        <f t="shared" si="105"/>
        <v>0</v>
      </c>
      <c r="AY227" s="200" t="e">
        <f t="shared" si="114"/>
        <v>#DIV/0!</v>
      </c>
      <c r="AZ227" s="159">
        <f t="shared" si="115"/>
        <v>0</v>
      </c>
      <c r="BA227" s="148" t="e">
        <f t="shared" si="106"/>
        <v>#NUM!</v>
      </c>
      <c r="BB227" s="6" t="e">
        <f t="shared" si="116"/>
        <v>#NUM!</v>
      </c>
      <c r="BC227" s="6" t="e">
        <f t="shared" si="117"/>
        <v>#NUM!</v>
      </c>
      <c r="BD227" s="149" t="e">
        <f t="shared" si="95"/>
        <v>#NUM!</v>
      </c>
      <c r="BE227" s="148" t="e">
        <f t="shared" si="107"/>
        <v>#NUM!</v>
      </c>
      <c r="BF227" s="6" t="e">
        <f t="shared" si="118"/>
        <v>#NUM!</v>
      </c>
      <c r="BG227" s="6" t="e">
        <f t="shared" si="119"/>
        <v>#DIV/0!</v>
      </c>
      <c r="BH227" s="6" t="e">
        <f t="shared" si="108"/>
        <v>#NUM!</v>
      </c>
      <c r="BI227" s="138" t="e">
        <f t="shared" si="120"/>
        <v>#DIV/0!</v>
      </c>
    </row>
    <row r="228" spans="1:61" x14ac:dyDescent="0.25">
      <c r="A228"/>
      <c r="B228" s="9">
        <f t="shared" si="109"/>
        <v>9</v>
      </c>
      <c r="C228" s="13">
        <v>103</v>
      </c>
      <c r="D228" s="12">
        <f t="shared" si="99"/>
        <v>3166</v>
      </c>
      <c r="E228" s="6">
        <f>INDEX(GC!$G$25:$G$144,MATCH($D228,GC!$C$25:$C$144,0))</f>
        <v>0</v>
      </c>
      <c r="F228" s="247">
        <f>INDEX(GC!$I$25:$I$144,MATCH($D228,GC!$C$25:$C$144,0))</f>
        <v>0</v>
      </c>
      <c r="G228" s="6">
        <f t="shared" si="100"/>
        <v>0</v>
      </c>
      <c r="H228" s="6">
        <f t="shared" si="62"/>
        <v>0</v>
      </c>
      <c r="I228" s="6">
        <f t="shared" si="110"/>
        <v>0</v>
      </c>
      <c r="J228" s="6">
        <f>IF(SUM($I$126:I228)&gt;$E$61, SUM($I$126:I228)-SUM($J$125:J227)-$E$61,0)</f>
        <v>0</v>
      </c>
      <c r="K228" s="6" t="e">
        <f t="shared" si="63"/>
        <v>#DIV/0!</v>
      </c>
      <c r="L228" s="6" t="e">
        <f t="shared" si="64"/>
        <v>#DIV/0!</v>
      </c>
      <c r="M228" s="6" t="e">
        <f t="shared" si="65"/>
        <v>#DIV/0!</v>
      </c>
      <c r="N228" s="6">
        <f t="shared" si="66"/>
        <v>0</v>
      </c>
      <c r="O228" s="6">
        <f t="shared" si="67"/>
        <v>0</v>
      </c>
      <c r="P228" s="6">
        <f t="shared" si="68"/>
        <v>0</v>
      </c>
      <c r="Q228" s="6">
        <f t="shared" si="69"/>
        <v>0</v>
      </c>
      <c r="R228" s="6" t="e">
        <f t="shared" si="101"/>
        <v>#DIV/0!</v>
      </c>
      <c r="S228" s="6" t="e">
        <f t="shared" si="70"/>
        <v>#DIV/0!</v>
      </c>
      <c r="T228" s="11" t="e">
        <f>SUM($R$126:R228)/($E$87)</f>
        <v>#DIV/0!</v>
      </c>
      <c r="U228" s="89" t="e">
        <f t="shared" si="71"/>
        <v>#DIV/0!</v>
      </c>
      <c r="V228" s="6" t="e">
        <f t="shared" si="72"/>
        <v>#DIV/0!</v>
      </c>
      <c r="W228" s="6" t="e">
        <f t="shared" si="102"/>
        <v>#DIV/0!</v>
      </c>
      <c r="X228" s="6" t="e">
        <f t="shared" si="73"/>
        <v>#DIV/0!</v>
      </c>
      <c r="Y228" s="6" t="e">
        <f t="shared" si="74"/>
        <v>#DIV/0!</v>
      </c>
      <c r="Z228" s="90" t="e">
        <f t="shared" si="75"/>
        <v>#DIV/0!</v>
      </c>
      <c r="AA228" s="89" t="e">
        <f t="shared" si="76"/>
        <v>#DIV/0!</v>
      </c>
      <c r="AB228" s="6" t="e">
        <f t="shared" si="77"/>
        <v>#DIV/0!</v>
      </c>
      <c r="AC228" s="6" t="e">
        <f t="shared" si="111"/>
        <v>#NUM!</v>
      </c>
      <c r="AD228" s="90" t="e">
        <f t="shared" si="79"/>
        <v>#NUM!</v>
      </c>
      <c r="AE228" s="6" t="e">
        <f t="shared" si="80"/>
        <v>#DIV/0!</v>
      </c>
      <c r="AF228" s="6" t="e">
        <f>IF(SUM(AE229:$AE$245)-SUM(AJ229:$AK$245,AN229:$AN$245)&gt;$E$42,0,IF(SUM($AF$125:AF227)=0,$E$42-(SUM(AE229:$AE$245)-SUM(AJ229:$AK$245,AN229:$AN$245)),AE228-SUM(AJ228:AK228,AN228)))</f>
        <v>#DIV/0!</v>
      </c>
      <c r="AG228" s="89" t="e">
        <f t="shared" si="81"/>
        <v>#DIV/0!</v>
      </c>
      <c r="AH228" s="6" t="e">
        <f t="shared" si="103"/>
        <v>#DIV/0!</v>
      </c>
      <c r="AI228" s="6" t="e">
        <f t="shared" si="82"/>
        <v>#DIV/0!</v>
      </c>
      <c r="AJ228" s="6">
        <f t="shared" si="83"/>
        <v>0</v>
      </c>
      <c r="AK228" s="90">
        <f t="shared" si="84"/>
        <v>0</v>
      </c>
      <c r="AL228" s="6" t="e">
        <f t="shared" si="85"/>
        <v>#DIV/0!</v>
      </c>
      <c r="AM228" s="6" t="e">
        <f t="shared" si="104"/>
        <v>#NUM!</v>
      </c>
      <c r="AN228" s="6">
        <f t="shared" si="86"/>
        <v>0</v>
      </c>
      <c r="AO228" s="6" t="e">
        <f t="shared" si="87"/>
        <v>#DIV/0!</v>
      </c>
      <c r="AP228" s="15">
        <f>IFERROR(XIRR($AO$125:AO228,$D$125:D228),-100%)</f>
        <v>-1</v>
      </c>
      <c r="AQ228" s="129" t="e">
        <f t="shared" si="88"/>
        <v>#NUM!</v>
      </c>
      <c r="AR228" s="300">
        <v>0</v>
      </c>
      <c r="AS228" s="130" t="e">
        <f t="shared" si="112"/>
        <v>#DIV/0!</v>
      </c>
      <c r="AT228" s="10">
        <f>IFERROR(XIRR($AS$125:$AS228,$D$125:$D228),-100%)</f>
        <v>-1</v>
      </c>
      <c r="AU228" s="300">
        <v>0</v>
      </c>
      <c r="AV228" s="130" t="e">
        <f t="shared" si="113"/>
        <v>#DIV/0!</v>
      </c>
      <c r="AW228" s="131">
        <f>IFERROR(XIRR($AV$125:$AV228,$D$125:$D228),-100%)</f>
        <v>-1</v>
      </c>
      <c r="AX228" s="213">
        <f t="shared" si="105"/>
        <v>0</v>
      </c>
      <c r="AY228" s="200" t="e">
        <f t="shared" si="114"/>
        <v>#DIV/0!</v>
      </c>
      <c r="AZ228" s="159">
        <f t="shared" si="115"/>
        <v>0</v>
      </c>
      <c r="BA228" s="148" t="e">
        <f t="shared" si="106"/>
        <v>#NUM!</v>
      </c>
      <c r="BB228" s="6" t="e">
        <f t="shared" si="116"/>
        <v>#NUM!</v>
      </c>
      <c r="BC228" s="6" t="e">
        <f t="shared" si="117"/>
        <v>#NUM!</v>
      </c>
      <c r="BD228" s="149" t="e">
        <f t="shared" si="95"/>
        <v>#NUM!</v>
      </c>
      <c r="BE228" s="148" t="e">
        <f t="shared" si="107"/>
        <v>#NUM!</v>
      </c>
      <c r="BF228" s="6" t="e">
        <f t="shared" si="118"/>
        <v>#NUM!</v>
      </c>
      <c r="BG228" s="6" t="e">
        <f t="shared" si="119"/>
        <v>#DIV/0!</v>
      </c>
      <c r="BH228" s="6" t="e">
        <f t="shared" si="108"/>
        <v>#NUM!</v>
      </c>
      <c r="BI228" s="138" t="e">
        <f t="shared" si="120"/>
        <v>#DIV/0!</v>
      </c>
    </row>
    <row r="229" spans="1:61" x14ac:dyDescent="0.25">
      <c r="A229"/>
      <c r="B229" s="9">
        <f t="shared" si="109"/>
        <v>9</v>
      </c>
      <c r="C229" s="13">
        <v>104</v>
      </c>
      <c r="D229" s="12">
        <f t="shared" si="99"/>
        <v>3196</v>
      </c>
      <c r="E229" s="6">
        <f>INDEX(GC!$G$25:$G$144,MATCH($D229,GC!$C$25:$C$144,0))</f>
        <v>0</v>
      </c>
      <c r="F229" s="247">
        <f>INDEX(GC!$I$25:$I$144,MATCH($D229,GC!$C$25:$C$144,0))</f>
        <v>0</v>
      </c>
      <c r="G229" s="6">
        <f t="shared" si="100"/>
        <v>0</v>
      </c>
      <c r="H229" s="6">
        <f t="shared" si="62"/>
        <v>0</v>
      </c>
      <c r="I229" s="6">
        <f t="shared" si="110"/>
        <v>0</v>
      </c>
      <c r="J229" s="6">
        <f>IF(SUM($I$126:I229)&gt;$E$61, SUM($I$126:I229)-SUM($J$125:J228)-$E$61,0)</f>
        <v>0</v>
      </c>
      <c r="K229" s="6" t="e">
        <f t="shared" si="63"/>
        <v>#DIV/0!</v>
      </c>
      <c r="L229" s="6" t="e">
        <f t="shared" si="64"/>
        <v>#DIV/0!</v>
      </c>
      <c r="M229" s="6" t="e">
        <f t="shared" si="65"/>
        <v>#DIV/0!</v>
      </c>
      <c r="N229" s="6">
        <f t="shared" si="66"/>
        <v>0</v>
      </c>
      <c r="O229" s="6">
        <f t="shared" si="67"/>
        <v>0</v>
      </c>
      <c r="P229" s="6">
        <f t="shared" si="68"/>
        <v>0</v>
      </c>
      <c r="Q229" s="6">
        <f t="shared" si="69"/>
        <v>0</v>
      </c>
      <c r="R229" s="6" t="e">
        <f t="shared" si="101"/>
        <v>#DIV/0!</v>
      </c>
      <c r="S229" s="6" t="e">
        <f t="shared" si="70"/>
        <v>#DIV/0!</v>
      </c>
      <c r="T229" s="11" t="e">
        <f>SUM($R$126:R229)/($E$87)</f>
        <v>#DIV/0!</v>
      </c>
      <c r="U229" s="89" t="e">
        <f t="shared" si="71"/>
        <v>#DIV/0!</v>
      </c>
      <c r="V229" s="6" t="e">
        <f t="shared" si="72"/>
        <v>#DIV/0!</v>
      </c>
      <c r="W229" s="6" t="e">
        <f t="shared" si="102"/>
        <v>#DIV/0!</v>
      </c>
      <c r="X229" s="6" t="e">
        <f t="shared" si="73"/>
        <v>#DIV/0!</v>
      </c>
      <c r="Y229" s="6" t="e">
        <f t="shared" si="74"/>
        <v>#DIV/0!</v>
      </c>
      <c r="Z229" s="90" t="e">
        <f t="shared" si="75"/>
        <v>#DIV/0!</v>
      </c>
      <c r="AA229" s="89" t="e">
        <f t="shared" si="76"/>
        <v>#DIV/0!</v>
      </c>
      <c r="AB229" s="6" t="e">
        <f t="shared" si="77"/>
        <v>#DIV/0!</v>
      </c>
      <c r="AC229" s="6" t="e">
        <f t="shared" si="111"/>
        <v>#NUM!</v>
      </c>
      <c r="AD229" s="90" t="e">
        <f t="shared" si="79"/>
        <v>#NUM!</v>
      </c>
      <c r="AE229" s="6" t="e">
        <f t="shared" si="80"/>
        <v>#DIV/0!</v>
      </c>
      <c r="AF229" s="6" t="e">
        <f>IF(SUM(AE230:$AE$245)-SUM(AJ230:$AK$245,AN230:$AN$245)&gt;$E$42,0,IF(SUM($AF$125:AF228)=0,$E$42-(SUM(AE230:$AE$245)-SUM(AJ230:$AK$245,AN230:$AN$245)),AE229-SUM(AJ229:AK229,AN229)))</f>
        <v>#DIV/0!</v>
      </c>
      <c r="AG229" s="89" t="e">
        <f t="shared" si="81"/>
        <v>#DIV/0!</v>
      </c>
      <c r="AH229" s="6" t="e">
        <f t="shared" si="103"/>
        <v>#DIV/0!</v>
      </c>
      <c r="AI229" s="6" t="e">
        <f t="shared" si="82"/>
        <v>#DIV/0!</v>
      </c>
      <c r="AJ229" s="6">
        <f t="shared" si="83"/>
        <v>0</v>
      </c>
      <c r="AK229" s="90">
        <f t="shared" si="84"/>
        <v>0</v>
      </c>
      <c r="AL229" s="6" t="e">
        <f t="shared" si="85"/>
        <v>#DIV/0!</v>
      </c>
      <c r="AM229" s="6" t="e">
        <f t="shared" si="104"/>
        <v>#NUM!</v>
      </c>
      <c r="AN229" s="6">
        <f t="shared" si="86"/>
        <v>0</v>
      </c>
      <c r="AO229" s="6" t="e">
        <f t="shared" si="87"/>
        <v>#DIV/0!</v>
      </c>
      <c r="AP229" s="15">
        <f>IFERROR(XIRR($AO$125:AO229,$D$125:D229),-100%)</f>
        <v>-1</v>
      </c>
      <c r="AQ229" s="129" t="e">
        <f t="shared" si="88"/>
        <v>#NUM!</v>
      </c>
      <c r="AR229" s="300">
        <v>0</v>
      </c>
      <c r="AS229" s="130" t="e">
        <f t="shared" si="112"/>
        <v>#DIV/0!</v>
      </c>
      <c r="AT229" s="10">
        <f>IFERROR(XIRR($AS$125:$AS229,$D$125:$D229),-100%)</f>
        <v>-1</v>
      </c>
      <c r="AU229" s="300">
        <v>0</v>
      </c>
      <c r="AV229" s="130" t="e">
        <f t="shared" si="113"/>
        <v>#DIV/0!</v>
      </c>
      <c r="AW229" s="131">
        <f>IFERROR(XIRR($AV$125:$AV229,$D$125:$D229),-100%)</f>
        <v>-1</v>
      </c>
      <c r="AX229" s="213">
        <f t="shared" si="105"/>
        <v>0</v>
      </c>
      <c r="AY229" s="200" t="e">
        <f t="shared" si="114"/>
        <v>#DIV/0!</v>
      </c>
      <c r="AZ229" s="159">
        <f t="shared" si="115"/>
        <v>0</v>
      </c>
      <c r="BA229" s="148" t="e">
        <f t="shared" si="106"/>
        <v>#NUM!</v>
      </c>
      <c r="BB229" s="6" t="e">
        <f t="shared" si="116"/>
        <v>#NUM!</v>
      </c>
      <c r="BC229" s="6" t="e">
        <f t="shared" si="117"/>
        <v>#NUM!</v>
      </c>
      <c r="BD229" s="149" t="e">
        <f t="shared" si="95"/>
        <v>#NUM!</v>
      </c>
      <c r="BE229" s="148" t="e">
        <f t="shared" si="107"/>
        <v>#NUM!</v>
      </c>
      <c r="BF229" s="6" t="e">
        <f t="shared" si="118"/>
        <v>#NUM!</v>
      </c>
      <c r="BG229" s="6" t="e">
        <f t="shared" si="119"/>
        <v>#DIV/0!</v>
      </c>
      <c r="BH229" s="6" t="e">
        <f t="shared" si="108"/>
        <v>#NUM!</v>
      </c>
      <c r="BI229" s="138" t="e">
        <f t="shared" si="120"/>
        <v>#DIV/0!</v>
      </c>
    </row>
    <row r="230" spans="1:61" x14ac:dyDescent="0.25">
      <c r="A230"/>
      <c r="B230" s="9">
        <f t="shared" si="109"/>
        <v>9</v>
      </c>
      <c r="C230" s="13">
        <v>105</v>
      </c>
      <c r="D230" s="12">
        <f t="shared" si="99"/>
        <v>3227</v>
      </c>
      <c r="E230" s="6">
        <f>INDEX(GC!$G$25:$G$144,MATCH($D230,GC!$C$25:$C$144,0))</f>
        <v>0</v>
      </c>
      <c r="F230" s="247">
        <f>INDEX(GC!$I$25:$I$144,MATCH($D230,GC!$C$25:$C$144,0))</f>
        <v>0</v>
      </c>
      <c r="G230" s="6">
        <f t="shared" si="100"/>
        <v>0</v>
      </c>
      <c r="H230" s="6">
        <f t="shared" si="62"/>
        <v>0</v>
      </c>
      <c r="I230" s="6">
        <f t="shared" si="110"/>
        <v>0</v>
      </c>
      <c r="J230" s="6">
        <f>IF(SUM($I$126:I230)&gt;$E$61, SUM($I$126:I230)-SUM($J$125:J229)-$E$61,0)</f>
        <v>0</v>
      </c>
      <c r="K230" s="6" t="e">
        <f t="shared" si="63"/>
        <v>#DIV/0!</v>
      </c>
      <c r="L230" s="6" t="e">
        <f t="shared" si="64"/>
        <v>#DIV/0!</v>
      </c>
      <c r="M230" s="6" t="e">
        <f t="shared" si="65"/>
        <v>#DIV/0!</v>
      </c>
      <c r="N230" s="6">
        <f t="shared" si="66"/>
        <v>0</v>
      </c>
      <c r="O230" s="6">
        <f t="shared" si="67"/>
        <v>0</v>
      </c>
      <c r="P230" s="6">
        <f t="shared" si="68"/>
        <v>0</v>
      </c>
      <c r="Q230" s="6">
        <f t="shared" si="69"/>
        <v>0</v>
      </c>
      <c r="R230" s="6" t="e">
        <f t="shared" si="101"/>
        <v>#DIV/0!</v>
      </c>
      <c r="S230" s="6" t="e">
        <f t="shared" si="70"/>
        <v>#DIV/0!</v>
      </c>
      <c r="T230" s="11" t="e">
        <f>SUM($R$126:R230)/($E$87)</f>
        <v>#DIV/0!</v>
      </c>
      <c r="U230" s="89" t="e">
        <f t="shared" si="71"/>
        <v>#DIV/0!</v>
      </c>
      <c r="V230" s="6" t="e">
        <f t="shared" si="72"/>
        <v>#DIV/0!</v>
      </c>
      <c r="W230" s="6" t="e">
        <f t="shared" si="102"/>
        <v>#DIV/0!</v>
      </c>
      <c r="X230" s="6" t="e">
        <f t="shared" si="73"/>
        <v>#DIV/0!</v>
      </c>
      <c r="Y230" s="6" t="e">
        <f t="shared" si="74"/>
        <v>#DIV/0!</v>
      </c>
      <c r="Z230" s="90" t="e">
        <f t="shared" si="75"/>
        <v>#DIV/0!</v>
      </c>
      <c r="AA230" s="89" t="e">
        <f t="shared" si="76"/>
        <v>#DIV/0!</v>
      </c>
      <c r="AB230" s="6" t="e">
        <f t="shared" si="77"/>
        <v>#DIV/0!</v>
      </c>
      <c r="AC230" s="6" t="e">
        <f t="shared" si="111"/>
        <v>#NUM!</v>
      </c>
      <c r="AD230" s="90" t="e">
        <f t="shared" si="79"/>
        <v>#NUM!</v>
      </c>
      <c r="AE230" s="6" t="e">
        <f t="shared" si="80"/>
        <v>#DIV/0!</v>
      </c>
      <c r="AF230" s="6" t="e">
        <f>IF(SUM(AE231:$AE$245)-SUM(AJ231:$AK$245,AN231:$AN$245)&gt;$E$42,0,IF(SUM($AF$125:AF229)=0,$E$42-(SUM(AE231:$AE$245)-SUM(AJ231:$AK$245,AN231:$AN$245)),AE230-SUM(AJ230:AK230,AN230)))</f>
        <v>#DIV/0!</v>
      </c>
      <c r="AG230" s="89" t="e">
        <f t="shared" si="81"/>
        <v>#DIV/0!</v>
      </c>
      <c r="AH230" s="6" t="e">
        <f t="shared" si="103"/>
        <v>#DIV/0!</v>
      </c>
      <c r="AI230" s="6" t="e">
        <f t="shared" si="82"/>
        <v>#DIV/0!</v>
      </c>
      <c r="AJ230" s="6">
        <f t="shared" si="83"/>
        <v>0</v>
      </c>
      <c r="AK230" s="90">
        <f t="shared" si="84"/>
        <v>0</v>
      </c>
      <c r="AL230" s="6" t="e">
        <f t="shared" si="85"/>
        <v>#DIV/0!</v>
      </c>
      <c r="AM230" s="6" t="e">
        <f t="shared" si="104"/>
        <v>#NUM!</v>
      </c>
      <c r="AN230" s="6">
        <f t="shared" si="86"/>
        <v>0</v>
      </c>
      <c r="AO230" s="6" t="e">
        <f t="shared" si="87"/>
        <v>#DIV/0!</v>
      </c>
      <c r="AP230" s="15">
        <f>IFERROR(XIRR($AO$125:AO230,$D$125:D230),-100%)</f>
        <v>-1</v>
      </c>
      <c r="AQ230" s="129" t="e">
        <f t="shared" si="88"/>
        <v>#NUM!</v>
      </c>
      <c r="AR230" s="300">
        <v>0</v>
      </c>
      <c r="AS230" s="130" t="e">
        <f t="shared" si="112"/>
        <v>#DIV/0!</v>
      </c>
      <c r="AT230" s="10">
        <f>IFERROR(XIRR($AS$125:$AS230,$D$125:$D230),-100%)</f>
        <v>-1</v>
      </c>
      <c r="AU230" s="300">
        <v>0</v>
      </c>
      <c r="AV230" s="130" t="e">
        <f t="shared" si="113"/>
        <v>#DIV/0!</v>
      </c>
      <c r="AW230" s="131">
        <f>IFERROR(XIRR($AV$125:$AV230,$D$125:$D230),-100%)</f>
        <v>-1</v>
      </c>
      <c r="AX230" s="213">
        <f t="shared" si="105"/>
        <v>0</v>
      </c>
      <c r="AY230" s="200" t="e">
        <f t="shared" si="114"/>
        <v>#DIV/0!</v>
      </c>
      <c r="AZ230" s="159">
        <f t="shared" si="115"/>
        <v>0</v>
      </c>
      <c r="BA230" s="148" t="e">
        <f t="shared" si="106"/>
        <v>#NUM!</v>
      </c>
      <c r="BB230" s="6" t="e">
        <f t="shared" si="116"/>
        <v>#NUM!</v>
      </c>
      <c r="BC230" s="6" t="e">
        <f t="shared" si="117"/>
        <v>#NUM!</v>
      </c>
      <c r="BD230" s="149" t="e">
        <f t="shared" si="95"/>
        <v>#NUM!</v>
      </c>
      <c r="BE230" s="148" t="e">
        <f t="shared" si="107"/>
        <v>#NUM!</v>
      </c>
      <c r="BF230" s="6" t="e">
        <f t="shared" si="118"/>
        <v>#NUM!</v>
      </c>
      <c r="BG230" s="6" t="e">
        <f t="shared" si="119"/>
        <v>#DIV/0!</v>
      </c>
      <c r="BH230" s="6" t="e">
        <f t="shared" si="108"/>
        <v>#NUM!</v>
      </c>
      <c r="BI230" s="138" t="e">
        <f t="shared" si="120"/>
        <v>#DIV/0!</v>
      </c>
    </row>
    <row r="231" spans="1:61" x14ac:dyDescent="0.25">
      <c r="A231"/>
      <c r="B231" s="9">
        <f t="shared" si="109"/>
        <v>9</v>
      </c>
      <c r="C231" s="13">
        <v>106</v>
      </c>
      <c r="D231" s="12">
        <f t="shared" si="99"/>
        <v>3257</v>
      </c>
      <c r="E231" s="6">
        <f>INDEX(GC!$G$25:$G$144,MATCH($D231,GC!$C$25:$C$144,0))</f>
        <v>0</v>
      </c>
      <c r="F231" s="247">
        <f>INDEX(GC!$I$25:$I$144,MATCH($D231,GC!$C$25:$C$144,0))</f>
        <v>0</v>
      </c>
      <c r="G231" s="6">
        <f t="shared" si="100"/>
        <v>0</v>
      </c>
      <c r="H231" s="6">
        <f t="shared" si="62"/>
        <v>0</v>
      </c>
      <c r="I231" s="6">
        <f t="shared" si="110"/>
        <v>0</v>
      </c>
      <c r="J231" s="6">
        <f>IF(SUM($I$126:I231)&gt;$E$61, SUM($I$126:I231)-SUM($J$125:J230)-$E$61,0)</f>
        <v>0</v>
      </c>
      <c r="K231" s="6" t="e">
        <f t="shared" si="63"/>
        <v>#DIV/0!</v>
      </c>
      <c r="L231" s="6" t="e">
        <f t="shared" si="64"/>
        <v>#DIV/0!</v>
      </c>
      <c r="M231" s="6" t="e">
        <f t="shared" si="65"/>
        <v>#DIV/0!</v>
      </c>
      <c r="N231" s="6">
        <f t="shared" si="66"/>
        <v>0</v>
      </c>
      <c r="O231" s="6">
        <f t="shared" si="67"/>
        <v>0</v>
      </c>
      <c r="P231" s="6">
        <f t="shared" si="68"/>
        <v>0</v>
      </c>
      <c r="Q231" s="6">
        <f t="shared" si="69"/>
        <v>0</v>
      </c>
      <c r="R231" s="6" t="e">
        <f t="shared" si="101"/>
        <v>#DIV/0!</v>
      </c>
      <c r="S231" s="6" t="e">
        <f t="shared" si="70"/>
        <v>#DIV/0!</v>
      </c>
      <c r="T231" s="11" t="e">
        <f>SUM($R$126:R231)/($E$87)</f>
        <v>#DIV/0!</v>
      </c>
      <c r="U231" s="89" t="e">
        <f t="shared" si="71"/>
        <v>#DIV/0!</v>
      </c>
      <c r="V231" s="6" t="e">
        <f t="shared" si="72"/>
        <v>#DIV/0!</v>
      </c>
      <c r="W231" s="6" t="e">
        <f t="shared" si="102"/>
        <v>#DIV/0!</v>
      </c>
      <c r="X231" s="6" t="e">
        <f t="shared" si="73"/>
        <v>#DIV/0!</v>
      </c>
      <c r="Y231" s="6" t="e">
        <f t="shared" si="74"/>
        <v>#DIV/0!</v>
      </c>
      <c r="Z231" s="90" t="e">
        <f t="shared" si="75"/>
        <v>#DIV/0!</v>
      </c>
      <c r="AA231" s="89" t="e">
        <f t="shared" si="76"/>
        <v>#DIV/0!</v>
      </c>
      <c r="AB231" s="6" t="e">
        <f t="shared" si="77"/>
        <v>#DIV/0!</v>
      </c>
      <c r="AC231" s="6" t="e">
        <f t="shared" si="111"/>
        <v>#NUM!</v>
      </c>
      <c r="AD231" s="90" t="e">
        <f t="shared" si="79"/>
        <v>#NUM!</v>
      </c>
      <c r="AE231" s="6" t="e">
        <f t="shared" si="80"/>
        <v>#DIV/0!</v>
      </c>
      <c r="AF231" s="6" t="e">
        <f>IF(SUM(AE232:$AE$245)-SUM(AJ232:$AK$245,AN232:$AN$245)&gt;$E$42,0,IF(SUM($AF$125:AF230)=0,$E$42-(SUM(AE232:$AE$245)-SUM(AJ232:$AK$245,AN232:$AN$245)),AE231-SUM(AJ231:AK231,AN231)))</f>
        <v>#DIV/0!</v>
      </c>
      <c r="AG231" s="89" t="e">
        <f t="shared" si="81"/>
        <v>#DIV/0!</v>
      </c>
      <c r="AH231" s="6" t="e">
        <f t="shared" si="103"/>
        <v>#DIV/0!</v>
      </c>
      <c r="AI231" s="6" t="e">
        <f t="shared" si="82"/>
        <v>#DIV/0!</v>
      </c>
      <c r="AJ231" s="6">
        <f t="shared" si="83"/>
        <v>0</v>
      </c>
      <c r="AK231" s="90">
        <f t="shared" si="84"/>
        <v>0</v>
      </c>
      <c r="AL231" s="6" t="e">
        <f t="shared" si="85"/>
        <v>#DIV/0!</v>
      </c>
      <c r="AM231" s="6" t="e">
        <f t="shared" si="104"/>
        <v>#NUM!</v>
      </c>
      <c r="AN231" s="6">
        <f t="shared" si="86"/>
        <v>0</v>
      </c>
      <c r="AO231" s="6" t="e">
        <f t="shared" si="87"/>
        <v>#DIV/0!</v>
      </c>
      <c r="AP231" s="15">
        <f>IFERROR(XIRR($AO$125:AO231,$D$125:D231),-100%)</f>
        <v>-1</v>
      </c>
      <c r="AQ231" s="129" t="e">
        <f t="shared" si="88"/>
        <v>#NUM!</v>
      </c>
      <c r="AR231" s="300">
        <v>0</v>
      </c>
      <c r="AS231" s="130" t="e">
        <f t="shared" si="112"/>
        <v>#DIV/0!</v>
      </c>
      <c r="AT231" s="10">
        <f>IFERROR(XIRR($AS$125:$AS231,$D$125:$D231),-100%)</f>
        <v>-1</v>
      </c>
      <c r="AU231" s="300">
        <v>0</v>
      </c>
      <c r="AV231" s="130" t="e">
        <f t="shared" si="113"/>
        <v>#DIV/0!</v>
      </c>
      <c r="AW231" s="131">
        <f>IFERROR(XIRR($AV$125:$AV231,$D$125:$D231),-100%)</f>
        <v>-1</v>
      </c>
      <c r="AX231" s="213">
        <f t="shared" si="105"/>
        <v>0</v>
      </c>
      <c r="AY231" s="200" t="e">
        <f t="shared" si="114"/>
        <v>#DIV/0!</v>
      </c>
      <c r="AZ231" s="159">
        <f t="shared" si="115"/>
        <v>0</v>
      </c>
      <c r="BA231" s="148" t="e">
        <f t="shared" si="106"/>
        <v>#NUM!</v>
      </c>
      <c r="BB231" s="6" t="e">
        <f t="shared" si="116"/>
        <v>#NUM!</v>
      </c>
      <c r="BC231" s="6" t="e">
        <f t="shared" si="117"/>
        <v>#NUM!</v>
      </c>
      <c r="BD231" s="149" t="e">
        <f t="shared" si="95"/>
        <v>#NUM!</v>
      </c>
      <c r="BE231" s="148" t="e">
        <f t="shared" si="107"/>
        <v>#NUM!</v>
      </c>
      <c r="BF231" s="6" t="e">
        <f t="shared" si="118"/>
        <v>#NUM!</v>
      </c>
      <c r="BG231" s="6" t="e">
        <f t="shared" si="119"/>
        <v>#DIV/0!</v>
      </c>
      <c r="BH231" s="6" t="e">
        <f t="shared" si="108"/>
        <v>#NUM!</v>
      </c>
      <c r="BI231" s="138" t="e">
        <f t="shared" si="120"/>
        <v>#DIV/0!</v>
      </c>
    </row>
    <row r="232" spans="1:61" x14ac:dyDescent="0.25">
      <c r="A232"/>
      <c r="B232" s="9">
        <f t="shared" si="109"/>
        <v>9</v>
      </c>
      <c r="C232" s="13">
        <v>107</v>
      </c>
      <c r="D232" s="12">
        <f t="shared" si="99"/>
        <v>3288</v>
      </c>
      <c r="E232" s="6">
        <f>INDEX(GC!$G$25:$G$144,MATCH($D232,GC!$C$25:$C$144,0))</f>
        <v>0</v>
      </c>
      <c r="F232" s="247">
        <f>INDEX(GC!$I$25:$I$144,MATCH($D232,GC!$C$25:$C$144,0))</f>
        <v>0</v>
      </c>
      <c r="G232" s="6">
        <f t="shared" si="100"/>
        <v>0</v>
      </c>
      <c r="H232" s="6">
        <f t="shared" si="62"/>
        <v>0</v>
      </c>
      <c r="I232" s="6">
        <f t="shared" si="110"/>
        <v>0</v>
      </c>
      <c r="J232" s="6">
        <f>IF(SUM($I$126:I232)&gt;$E$61, SUM($I$126:I232)-SUM($J$125:J231)-$E$61,0)</f>
        <v>0</v>
      </c>
      <c r="K232" s="6" t="e">
        <f t="shared" si="63"/>
        <v>#DIV/0!</v>
      </c>
      <c r="L232" s="6" t="e">
        <f t="shared" si="64"/>
        <v>#DIV/0!</v>
      </c>
      <c r="M232" s="6" t="e">
        <f t="shared" si="65"/>
        <v>#DIV/0!</v>
      </c>
      <c r="N232" s="6">
        <f t="shared" si="66"/>
        <v>0</v>
      </c>
      <c r="O232" s="6">
        <f t="shared" si="67"/>
        <v>0</v>
      </c>
      <c r="P232" s="6">
        <f t="shared" si="68"/>
        <v>0</v>
      </c>
      <c r="Q232" s="6">
        <f t="shared" si="69"/>
        <v>0</v>
      </c>
      <c r="R232" s="6" t="e">
        <f t="shared" si="101"/>
        <v>#DIV/0!</v>
      </c>
      <c r="S232" s="6" t="e">
        <f t="shared" si="70"/>
        <v>#DIV/0!</v>
      </c>
      <c r="T232" s="11" t="e">
        <f>SUM($R$126:R232)/($E$87)</f>
        <v>#DIV/0!</v>
      </c>
      <c r="U232" s="89" t="e">
        <f t="shared" si="71"/>
        <v>#DIV/0!</v>
      </c>
      <c r="V232" s="6" t="e">
        <f t="shared" si="72"/>
        <v>#DIV/0!</v>
      </c>
      <c r="W232" s="6" t="e">
        <f t="shared" si="102"/>
        <v>#DIV/0!</v>
      </c>
      <c r="X232" s="6" t="e">
        <f t="shared" si="73"/>
        <v>#DIV/0!</v>
      </c>
      <c r="Y232" s="6" t="e">
        <f t="shared" si="74"/>
        <v>#DIV/0!</v>
      </c>
      <c r="Z232" s="90" t="e">
        <f t="shared" si="75"/>
        <v>#DIV/0!</v>
      </c>
      <c r="AA232" s="89" t="e">
        <f t="shared" si="76"/>
        <v>#DIV/0!</v>
      </c>
      <c r="AB232" s="6" t="e">
        <f t="shared" si="77"/>
        <v>#DIV/0!</v>
      </c>
      <c r="AC232" s="6" t="e">
        <f t="shared" si="111"/>
        <v>#NUM!</v>
      </c>
      <c r="AD232" s="90" t="e">
        <f t="shared" si="79"/>
        <v>#NUM!</v>
      </c>
      <c r="AE232" s="6" t="e">
        <f t="shared" si="80"/>
        <v>#DIV/0!</v>
      </c>
      <c r="AF232" s="6" t="e">
        <f>IF(SUM(AE233:$AE$245)-SUM(AJ233:$AK$245,AN233:$AN$245)&gt;$E$42,0,IF(SUM($AF$125:AF231)=0,$E$42-(SUM(AE233:$AE$245)-SUM(AJ233:$AK$245,AN233:$AN$245)),AE232-SUM(AJ232:AK232,AN232)))</f>
        <v>#DIV/0!</v>
      </c>
      <c r="AG232" s="89" t="e">
        <f t="shared" si="81"/>
        <v>#DIV/0!</v>
      </c>
      <c r="AH232" s="6" t="e">
        <f t="shared" si="103"/>
        <v>#DIV/0!</v>
      </c>
      <c r="AI232" s="6" t="e">
        <f t="shared" si="82"/>
        <v>#DIV/0!</v>
      </c>
      <c r="AJ232" s="6">
        <f t="shared" si="83"/>
        <v>0</v>
      </c>
      <c r="AK232" s="90">
        <f t="shared" si="84"/>
        <v>0</v>
      </c>
      <c r="AL232" s="6" t="e">
        <f t="shared" si="85"/>
        <v>#DIV/0!</v>
      </c>
      <c r="AM232" s="6" t="e">
        <f t="shared" si="104"/>
        <v>#NUM!</v>
      </c>
      <c r="AN232" s="6">
        <f t="shared" si="86"/>
        <v>0</v>
      </c>
      <c r="AO232" s="6" t="e">
        <f t="shared" si="87"/>
        <v>#DIV/0!</v>
      </c>
      <c r="AP232" s="15">
        <f>IFERROR(XIRR($AO$125:AO232,$D$125:D232),-100%)</f>
        <v>-1</v>
      </c>
      <c r="AQ232" s="129" t="e">
        <f t="shared" si="88"/>
        <v>#NUM!</v>
      </c>
      <c r="AR232" s="300">
        <v>0</v>
      </c>
      <c r="AS232" s="130" t="e">
        <f t="shared" si="112"/>
        <v>#DIV/0!</v>
      </c>
      <c r="AT232" s="10">
        <f>IFERROR(XIRR($AS$125:$AS232,$D$125:$D232),-100%)</f>
        <v>-1</v>
      </c>
      <c r="AU232" s="300">
        <v>0</v>
      </c>
      <c r="AV232" s="130" t="e">
        <f t="shared" si="113"/>
        <v>#DIV/0!</v>
      </c>
      <c r="AW232" s="131">
        <f>IFERROR(XIRR($AV$125:$AV232,$D$125:$D232),-100%)</f>
        <v>-1</v>
      </c>
      <c r="AX232" s="213">
        <f t="shared" si="105"/>
        <v>0</v>
      </c>
      <c r="AY232" s="200" t="e">
        <f t="shared" si="114"/>
        <v>#DIV/0!</v>
      </c>
      <c r="AZ232" s="159">
        <f t="shared" si="115"/>
        <v>0</v>
      </c>
      <c r="BA232" s="148" t="e">
        <f t="shared" si="106"/>
        <v>#NUM!</v>
      </c>
      <c r="BB232" s="6" t="e">
        <f t="shared" si="116"/>
        <v>#NUM!</v>
      </c>
      <c r="BC232" s="6" t="e">
        <f t="shared" si="117"/>
        <v>#NUM!</v>
      </c>
      <c r="BD232" s="149" t="e">
        <f t="shared" si="95"/>
        <v>#NUM!</v>
      </c>
      <c r="BE232" s="148" t="e">
        <f t="shared" si="107"/>
        <v>#NUM!</v>
      </c>
      <c r="BF232" s="6" t="e">
        <f t="shared" si="118"/>
        <v>#NUM!</v>
      </c>
      <c r="BG232" s="6" t="e">
        <f t="shared" si="119"/>
        <v>#DIV/0!</v>
      </c>
      <c r="BH232" s="6" t="e">
        <f t="shared" si="108"/>
        <v>#NUM!</v>
      </c>
      <c r="BI232" s="138" t="e">
        <f t="shared" si="120"/>
        <v>#DIV/0!</v>
      </c>
    </row>
    <row r="233" spans="1:61" x14ac:dyDescent="0.25">
      <c r="A233"/>
      <c r="B233" s="9">
        <f t="shared" si="109"/>
        <v>9</v>
      </c>
      <c r="C233" s="13">
        <v>108</v>
      </c>
      <c r="D233" s="12">
        <f t="shared" si="99"/>
        <v>3319</v>
      </c>
      <c r="E233" s="6">
        <f>INDEX(GC!$G$25:$G$144,MATCH($D233,GC!$C$25:$C$144,0))</f>
        <v>0</v>
      </c>
      <c r="F233" s="247">
        <f>INDEX(GC!$I$25:$I$144,MATCH($D233,GC!$C$25:$C$144,0))</f>
        <v>0</v>
      </c>
      <c r="G233" s="6">
        <f t="shared" si="100"/>
        <v>0</v>
      </c>
      <c r="H233" s="6">
        <f t="shared" si="62"/>
        <v>0</v>
      </c>
      <c r="I233" s="6">
        <f t="shared" si="110"/>
        <v>0</v>
      </c>
      <c r="J233" s="6">
        <f>IF(SUM($I$126:I233)&gt;$E$61, SUM($I$126:I233)-SUM($J$125:J232)-$E$61,0)</f>
        <v>0</v>
      </c>
      <c r="K233" s="6" t="e">
        <f t="shared" si="63"/>
        <v>#DIV/0!</v>
      </c>
      <c r="L233" s="6" t="e">
        <f t="shared" si="64"/>
        <v>#DIV/0!</v>
      </c>
      <c r="M233" s="6" t="e">
        <f t="shared" si="65"/>
        <v>#DIV/0!</v>
      </c>
      <c r="N233" s="6">
        <f t="shared" si="66"/>
        <v>0</v>
      </c>
      <c r="O233" s="6">
        <f t="shared" si="67"/>
        <v>0</v>
      </c>
      <c r="P233" s="6">
        <f t="shared" si="68"/>
        <v>0</v>
      </c>
      <c r="Q233" s="6">
        <f t="shared" si="69"/>
        <v>0</v>
      </c>
      <c r="R233" s="6" t="e">
        <f t="shared" si="101"/>
        <v>#DIV/0!</v>
      </c>
      <c r="S233" s="6" t="e">
        <f t="shared" si="70"/>
        <v>#DIV/0!</v>
      </c>
      <c r="T233" s="11" t="e">
        <f>SUM($R$126:R233)/($E$87)</f>
        <v>#DIV/0!</v>
      </c>
      <c r="U233" s="89" t="e">
        <f t="shared" si="71"/>
        <v>#DIV/0!</v>
      </c>
      <c r="V233" s="6" t="e">
        <f t="shared" si="72"/>
        <v>#DIV/0!</v>
      </c>
      <c r="W233" s="6" t="e">
        <f t="shared" si="102"/>
        <v>#DIV/0!</v>
      </c>
      <c r="X233" s="6" t="e">
        <f t="shared" si="73"/>
        <v>#DIV/0!</v>
      </c>
      <c r="Y233" s="6" t="e">
        <f t="shared" si="74"/>
        <v>#DIV/0!</v>
      </c>
      <c r="Z233" s="90" t="e">
        <f t="shared" si="75"/>
        <v>#DIV/0!</v>
      </c>
      <c r="AA233" s="89" t="e">
        <f t="shared" si="76"/>
        <v>#DIV/0!</v>
      </c>
      <c r="AB233" s="6" t="e">
        <f t="shared" si="77"/>
        <v>#DIV/0!</v>
      </c>
      <c r="AC233" s="6" t="e">
        <f t="shared" si="111"/>
        <v>#NUM!</v>
      </c>
      <c r="AD233" s="90" t="e">
        <f t="shared" si="79"/>
        <v>#NUM!</v>
      </c>
      <c r="AE233" s="6" t="e">
        <f t="shared" si="80"/>
        <v>#DIV/0!</v>
      </c>
      <c r="AF233" s="6" t="e">
        <f>IF(SUM(AE234:$AE$245)-SUM(AJ234:$AK$245,AN234:$AN$245)&gt;$E$42,0,IF(SUM($AF$125:AF232)=0,$E$42-(SUM(AE234:$AE$245)-SUM(AJ234:$AK$245,AN234:$AN$245)),AE233-SUM(AJ233:AK233,AN233)))</f>
        <v>#DIV/0!</v>
      </c>
      <c r="AG233" s="89" t="e">
        <f t="shared" si="81"/>
        <v>#DIV/0!</v>
      </c>
      <c r="AH233" s="6" t="e">
        <f t="shared" si="103"/>
        <v>#DIV/0!</v>
      </c>
      <c r="AI233" s="6" t="e">
        <f t="shared" si="82"/>
        <v>#DIV/0!</v>
      </c>
      <c r="AJ233" s="6">
        <f t="shared" si="83"/>
        <v>0</v>
      </c>
      <c r="AK233" s="90">
        <f t="shared" si="84"/>
        <v>0</v>
      </c>
      <c r="AL233" s="6" t="e">
        <f t="shared" si="85"/>
        <v>#DIV/0!</v>
      </c>
      <c r="AM233" s="6" t="e">
        <f t="shared" si="104"/>
        <v>#NUM!</v>
      </c>
      <c r="AN233" s="6">
        <f t="shared" si="86"/>
        <v>0</v>
      </c>
      <c r="AO233" s="6" t="e">
        <f t="shared" si="87"/>
        <v>#DIV/0!</v>
      </c>
      <c r="AP233" s="15">
        <f>IFERROR(XIRR($AO$125:AO233,$D$125:D233),-100%)</f>
        <v>-1</v>
      </c>
      <c r="AQ233" s="129" t="e">
        <f t="shared" si="88"/>
        <v>#NUM!</v>
      </c>
      <c r="AR233" s="300">
        <v>0</v>
      </c>
      <c r="AS233" s="130" t="e">
        <f t="shared" si="112"/>
        <v>#DIV/0!</v>
      </c>
      <c r="AT233" s="10">
        <f>IFERROR(XIRR($AS$125:$AS233,$D$125:$D233),-100%)</f>
        <v>-1</v>
      </c>
      <c r="AU233" s="300">
        <v>0</v>
      </c>
      <c r="AV233" s="130" t="e">
        <f t="shared" si="113"/>
        <v>#DIV/0!</v>
      </c>
      <c r="AW233" s="131">
        <f>IFERROR(XIRR($AV$125:$AV233,$D$125:$D233),-100%)</f>
        <v>-1</v>
      </c>
      <c r="AX233" s="213">
        <f t="shared" si="105"/>
        <v>0</v>
      </c>
      <c r="AY233" s="200" t="e">
        <f t="shared" si="114"/>
        <v>#DIV/0!</v>
      </c>
      <c r="AZ233" s="159">
        <f t="shared" si="115"/>
        <v>0</v>
      </c>
      <c r="BA233" s="148" t="e">
        <f t="shared" si="106"/>
        <v>#NUM!</v>
      </c>
      <c r="BB233" s="6" t="e">
        <f t="shared" si="116"/>
        <v>#NUM!</v>
      </c>
      <c r="BC233" s="6" t="e">
        <f t="shared" si="117"/>
        <v>#NUM!</v>
      </c>
      <c r="BD233" s="149" t="e">
        <f t="shared" si="95"/>
        <v>#NUM!</v>
      </c>
      <c r="BE233" s="148" t="e">
        <f t="shared" si="107"/>
        <v>#NUM!</v>
      </c>
      <c r="BF233" s="6" t="e">
        <f t="shared" si="118"/>
        <v>#NUM!</v>
      </c>
      <c r="BG233" s="6" t="e">
        <f t="shared" si="119"/>
        <v>#DIV/0!</v>
      </c>
      <c r="BH233" s="6" t="e">
        <f t="shared" si="108"/>
        <v>#NUM!</v>
      </c>
      <c r="BI233" s="138" t="e">
        <f t="shared" si="120"/>
        <v>#DIV/0!</v>
      </c>
    </row>
    <row r="234" spans="1:61" x14ac:dyDescent="0.25">
      <c r="A234"/>
      <c r="B234" s="9">
        <f t="shared" si="109"/>
        <v>10</v>
      </c>
      <c r="C234" s="13">
        <v>109</v>
      </c>
      <c r="D234" s="12">
        <f t="shared" si="99"/>
        <v>3347</v>
      </c>
      <c r="E234" s="6">
        <f>INDEX(GC!$G$25:$G$144,MATCH($D234,GC!$C$25:$C$144,0))</f>
        <v>0</v>
      </c>
      <c r="F234" s="247">
        <f>INDEX(GC!$I$25:$I$144,MATCH($D234,GC!$C$25:$C$144,0))</f>
        <v>0</v>
      </c>
      <c r="G234" s="6">
        <f t="shared" si="100"/>
        <v>0</v>
      </c>
      <c r="H234" s="6">
        <f t="shared" si="62"/>
        <v>0</v>
      </c>
      <c r="I234" s="6">
        <f t="shared" si="110"/>
        <v>0</v>
      </c>
      <c r="J234" s="6">
        <f>IF(SUM($I$126:I234)&gt;$E$61, SUM($I$126:I234)-SUM($J$125:J233)-$E$61,0)</f>
        <v>0</v>
      </c>
      <c r="K234" s="6" t="e">
        <f t="shared" si="63"/>
        <v>#DIV/0!</v>
      </c>
      <c r="L234" s="6" t="e">
        <f t="shared" si="64"/>
        <v>#DIV/0!</v>
      </c>
      <c r="M234" s="6" t="e">
        <f t="shared" si="65"/>
        <v>#DIV/0!</v>
      </c>
      <c r="N234" s="6">
        <f t="shared" si="66"/>
        <v>0</v>
      </c>
      <c r="O234" s="6">
        <f t="shared" si="67"/>
        <v>0</v>
      </c>
      <c r="P234" s="6">
        <f t="shared" si="68"/>
        <v>0</v>
      </c>
      <c r="Q234" s="6">
        <f t="shared" si="69"/>
        <v>0</v>
      </c>
      <c r="R234" s="6" t="e">
        <f t="shared" si="101"/>
        <v>#DIV/0!</v>
      </c>
      <c r="S234" s="6" t="e">
        <f t="shared" si="70"/>
        <v>#DIV/0!</v>
      </c>
      <c r="T234" s="11" t="e">
        <f>SUM($R$126:R234)/($E$87)</f>
        <v>#DIV/0!</v>
      </c>
      <c r="U234" s="89" t="e">
        <f t="shared" si="71"/>
        <v>#DIV/0!</v>
      </c>
      <c r="V234" s="6" t="e">
        <f t="shared" si="72"/>
        <v>#DIV/0!</v>
      </c>
      <c r="W234" s="6" t="e">
        <f t="shared" si="102"/>
        <v>#DIV/0!</v>
      </c>
      <c r="X234" s="6" t="e">
        <f t="shared" si="73"/>
        <v>#DIV/0!</v>
      </c>
      <c r="Y234" s="6" t="e">
        <f t="shared" si="74"/>
        <v>#DIV/0!</v>
      </c>
      <c r="Z234" s="90" t="e">
        <f t="shared" si="75"/>
        <v>#DIV/0!</v>
      </c>
      <c r="AA234" s="89" t="e">
        <f t="shared" si="76"/>
        <v>#DIV/0!</v>
      </c>
      <c r="AB234" s="6" t="e">
        <f t="shared" si="77"/>
        <v>#DIV/0!</v>
      </c>
      <c r="AC234" s="6" t="e">
        <f t="shared" si="111"/>
        <v>#NUM!</v>
      </c>
      <c r="AD234" s="90" t="e">
        <f t="shared" si="79"/>
        <v>#NUM!</v>
      </c>
      <c r="AE234" s="6" t="e">
        <f t="shared" si="80"/>
        <v>#DIV/0!</v>
      </c>
      <c r="AF234" s="6" t="e">
        <f>IF(SUM(AE235:$AE$245)-SUM(AJ235:$AK$245,AN235:$AN$245)&gt;$E$42,0,IF(SUM($AF$125:AF233)=0,$E$42-(SUM(AE235:$AE$245)-SUM(AJ235:$AK$245,AN235:$AN$245)),AE234-SUM(AJ234:AK234,AN234)))</f>
        <v>#DIV/0!</v>
      </c>
      <c r="AG234" s="89" t="e">
        <f t="shared" si="81"/>
        <v>#DIV/0!</v>
      </c>
      <c r="AH234" s="6" t="e">
        <f t="shared" si="103"/>
        <v>#DIV/0!</v>
      </c>
      <c r="AI234" s="6" t="e">
        <f t="shared" si="82"/>
        <v>#DIV/0!</v>
      </c>
      <c r="AJ234" s="6">
        <f t="shared" si="83"/>
        <v>0</v>
      </c>
      <c r="AK234" s="90">
        <f t="shared" si="84"/>
        <v>0</v>
      </c>
      <c r="AL234" s="6" t="e">
        <f t="shared" si="85"/>
        <v>#DIV/0!</v>
      </c>
      <c r="AM234" s="6" t="e">
        <f t="shared" si="104"/>
        <v>#NUM!</v>
      </c>
      <c r="AN234" s="6">
        <f t="shared" si="86"/>
        <v>0</v>
      </c>
      <c r="AO234" s="6" t="e">
        <f t="shared" si="87"/>
        <v>#DIV/0!</v>
      </c>
      <c r="AP234" s="15">
        <f>IFERROR(XIRR($AO$125:AO234,$D$125:D234),-100%)</f>
        <v>-1</v>
      </c>
      <c r="AQ234" s="129" t="e">
        <f t="shared" si="88"/>
        <v>#NUM!</v>
      </c>
      <c r="AR234" s="300">
        <v>0</v>
      </c>
      <c r="AS234" s="130" t="e">
        <f t="shared" si="112"/>
        <v>#DIV/0!</v>
      </c>
      <c r="AT234" s="10">
        <f>IFERROR(XIRR($AS$125:$AS234,$D$125:$D234),-100%)</f>
        <v>-1</v>
      </c>
      <c r="AU234" s="300">
        <v>0</v>
      </c>
      <c r="AV234" s="130" t="e">
        <f t="shared" si="113"/>
        <v>#DIV/0!</v>
      </c>
      <c r="AW234" s="131">
        <f>IFERROR(XIRR($AV$125:$AV234,$D$125:$D234),-100%)</f>
        <v>-1</v>
      </c>
      <c r="AX234" s="213">
        <f t="shared" si="105"/>
        <v>0</v>
      </c>
      <c r="AY234" s="200" t="e">
        <f t="shared" si="114"/>
        <v>#DIV/0!</v>
      </c>
      <c r="AZ234" s="159">
        <f t="shared" si="115"/>
        <v>0</v>
      </c>
      <c r="BA234" s="148" t="e">
        <f t="shared" si="106"/>
        <v>#NUM!</v>
      </c>
      <c r="BB234" s="6" t="e">
        <f t="shared" si="116"/>
        <v>#NUM!</v>
      </c>
      <c r="BC234" s="6" t="e">
        <f t="shared" si="117"/>
        <v>#NUM!</v>
      </c>
      <c r="BD234" s="149" t="e">
        <f t="shared" si="95"/>
        <v>#NUM!</v>
      </c>
      <c r="BE234" s="148" t="e">
        <f t="shared" si="107"/>
        <v>#NUM!</v>
      </c>
      <c r="BF234" s="6" t="e">
        <f t="shared" si="118"/>
        <v>#NUM!</v>
      </c>
      <c r="BG234" s="6" t="e">
        <f t="shared" si="119"/>
        <v>#DIV/0!</v>
      </c>
      <c r="BH234" s="6" t="e">
        <f t="shared" si="108"/>
        <v>#NUM!</v>
      </c>
      <c r="BI234" s="138" t="e">
        <f t="shared" si="120"/>
        <v>#DIV/0!</v>
      </c>
    </row>
    <row r="235" spans="1:61" x14ac:dyDescent="0.25">
      <c r="A235"/>
      <c r="B235" s="9">
        <f t="shared" si="109"/>
        <v>10</v>
      </c>
      <c r="C235" s="13">
        <v>110</v>
      </c>
      <c r="D235" s="12">
        <f t="shared" si="99"/>
        <v>3378</v>
      </c>
      <c r="E235" s="6">
        <f>INDEX(GC!$G$25:$G$144,MATCH($D235,GC!$C$25:$C$144,0))</f>
        <v>0</v>
      </c>
      <c r="F235" s="247">
        <f>INDEX(GC!$I$25:$I$144,MATCH($D235,GC!$C$25:$C$144,0))</f>
        <v>0</v>
      </c>
      <c r="G235" s="6">
        <f t="shared" si="100"/>
        <v>0</v>
      </c>
      <c r="H235" s="6">
        <f t="shared" si="62"/>
        <v>0</v>
      </c>
      <c r="I235" s="6">
        <f t="shared" si="110"/>
        <v>0</v>
      </c>
      <c r="J235" s="6">
        <f>IF(SUM($I$126:I235)&gt;$E$61, SUM($I$126:I235)-SUM($J$125:J234)-$E$61,0)</f>
        <v>0</v>
      </c>
      <c r="K235" s="6" t="e">
        <f t="shared" si="63"/>
        <v>#DIV/0!</v>
      </c>
      <c r="L235" s="6" t="e">
        <f t="shared" si="64"/>
        <v>#DIV/0!</v>
      </c>
      <c r="M235" s="6" t="e">
        <f t="shared" si="65"/>
        <v>#DIV/0!</v>
      </c>
      <c r="N235" s="6">
        <f t="shared" si="66"/>
        <v>0</v>
      </c>
      <c r="O235" s="6">
        <f t="shared" si="67"/>
        <v>0</v>
      </c>
      <c r="P235" s="6">
        <f t="shared" si="68"/>
        <v>0</v>
      </c>
      <c r="Q235" s="6">
        <f t="shared" si="69"/>
        <v>0</v>
      </c>
      <c r="R235" s="6" t="e">
        <f t="shared" si="101"/>
        <v>#DIV/0!</v>
      </c>
      <c r="S235" s="6" t="e">
        <f t="shared" si="70"/>
        <v>#DIV/0!</v>
      </c>
      <c r="T235" s="11" t="e">
        <f>SUM($R$126:R235)/($E$87)</f>
        <v>#DIV/0!</v>
      </c>
      <c r="U235" s="89" t="e">
        <f t="shared" si="71"/>
        <v>#DIV/0!</v>
      </c>
      <c r="V235" s="6" t="e">
        <f t="shared" si="72"/>
        <v>#DIV/0!</v>
      </c>
      <c r="W235" s="6" t="e">
        <f t="shared" si="102"/>
        <v>#DIV/0!</v>
      </c>
      <c r="X235" s="6" t="e">
        <f t="shared" si="73"/>
        <v>#DIV/0!</v>
      </c>
      <c r="Y235" s="6" t="e">
        <f t="shared" si="74"/>
        <v>#DIV/0!</v>
      </c>
      <c r="Z235" s="90" t="e">
        <f t="shared" si="75"/>
        <v>#DIV/0!</v>
      </c>
      <c r="AA235" s="89" t="e">
        <f t="shared" si="76"/>
        <v>#DIV/0!</v>
      </c>
      <c r="AB235" s="6" t="e">
        <f t="shared" si="77"/>
        <v>#DIV/0!</v>
      </c>
      <c r="AC235" s="6" t="e">
        <f t="shared" si="111"/>
        <v>#NUM!</v>
      </c>
      <c r="AD235" s="90" t="e">
        <f t="shared" si="79"/>
        <v>#NUM!</v>
      </c>
      <c r="AE235" s="6" t="e">
        <f t="shared" si="80"/>
        <v>#DIV/0!</v>
      </c>
      <c r="AF235" s="6" t="e">
        <f>IF(SUM(AE236:$AE$245)-SUM(AJ236:$AK$245,AN236:$AN$245)&gt;$E$42,0,IF(SUM($AF$125:AF234)=0,$E$42-(SUM(AE236:$AE$245)-SUM(AJ236:$AK$245,AN236:$AN$245)),AE235-SUM(AJ235:AK235,AN235)))</f>
        <v>#DIV/0!</v>
      </c>
      <c r="AG235" s="89" t="e">
        <f t="shared" si="81"/>
        <v>#DIV/0!</v>
      </c>
      <c r="AH235" s="6" t="e">
        <f t="shared" si="103"/>
        <v>#DIV/0!</v>
      </c>
      <c r="AI235" s="6" t="e">
        <f t="shared" si="82"/>
        <v>#DIV/0!</v>
      </c>
      <c r="AJ235" s="6">
        <f t="shared" si="83"/>
        <v>0</v>
      </c>
      <c r="AK235" s="90">
        <f t="shared" si="84"/>
        <v>0</v>
      </c>
      <c r="AL235" s="6" t="e">
        <f t="shared" si="85"/>
        <v>#DIV/0!</v>
      </c>
      <c r="AM235" s="6" t="e">
        <f t="shared" si="104"/>
        <v>#NUM!</v>
      </c>
      <c r="AN235" s="6">
        <f t="shared" si="86"/>
        <v>0</v>
      </c>
      <c r="AO235" s="6" t="e">
        <f t="shared" si="87"/>
        <v>#DIV/0!</v>
      </c>
      <c r="AP235" s="15">
        <f>IFERROR(XIRR($AO$125:AO235,$D$125:D235),-100%)</f>
        <v>-1</v>
      </c>
      <c r="AQ235" s="129" t="e">
        <f t="shared" si="88"/>
        <v>#NUM!</v>
      </c>
      <c r="AR235" s="300">
        <v>0</v>
      </c>
      <c r="AS235" s="130" t="e">
        <f t="shared" si="112"/>
        <v>#DIV/0!</v>
      </c>
      <c r="AT235" s="10">
        <f>IFERROR(XIRR($AS$125:$AS235,$D$125:$D235),-100%)</f>
        <v>-1</v>
      </c>
      <c r="AU235" s="300">
        <v>0</v>
      </c>
      <c r="AV235" s="130" t="e">
        <f t="shared" si="113"/>
        <v>#DIV/0!</v>
      </c>
      <c r="AW235" s="131">
        <f>IFERROR(XIRR($AV$125:$AV235,$D$125:$D235),-100%)</f>
        <v>-1</v>
      </c>
      <c r="AX235" s="213">
        <f t="shared" si="105"/>
        <v>0</v>
      </c>
      <c r="AY235" s="200" t="e">
        <f t="shared" si="114"/>
        <v>#DIV/0!</v>
      </c>
      <c r="AZ235" s="159">
        <f t="shared" si="115"/>
        <v>0</v>
      </c>
      <c r="BA235" s="148" t="e">
        <f t="shared" si="106"/>
        <v>#NUM!</v>
      </c>
      <c r="BB235" s="6" t="e">
        <f t="shared" si="116"/>
        <v>#NUM!</v>
      </c>
      <c r="BC235" s="6" t="e">
        <f t="shared" si="117"/>
        <v>#NUM!</v>
      </c>
      <c r="BD235" s="149" t="e">
        <f t="shared" si="95"/>
        <v>#NUM!</v>
      </c>
      <c r="BE235" s="148" t="e">
        <f t="shared" si="107"/>
        <v>#NUM!</v>
      </c>
      <c r="BF235" s="6" t="e">
        <f t="shared" si="118"/>
        <v>#NUM!</v>
      </c>
      <c r="BG235" s="6" t="e">
        <f t="shared" si="119"/>
        <v>#DIV/0!</v>
      </c>
      <c r="BH235" s="6" t="e">
        <f t="shared" si="108"/>
        <v>#NUM!</v>
      </c>
      <c r="BI235" s="138" t="e">
        <f t="shared" si="120"/>
        <v>#DIV/0!</v>
      </c>
    </row>
    <row r="236" spans="1:61" x14ac:dyDescent="0.25">
      <c r="A236"/>
      <c r="B236" s="9">
        <f t="shared" si="109"/>
        <v>10</v>
      </c>
      <c r="C236" s="13">
        <v>111</v>
      </c>
      <c r="D236" s="12">
        <f t="shared" si="99"/>
        <v>3408</v>
      </c>
      <c r="E236" s="6">
        <f>INDEX(GC!$G$25:$G$144,MATCH($D236,GC!$C$25:$C$144,0))</f>
        <v>0</v>
      </c>
      <c r="F236" s="247">
        <f>INDEX(GC!$I$25:$I$144,MATCH($D236,GC!$C$25:$C$144,0))</f>
        <v>0</v>
      </c>
      <c r="G236" s="6">
        <f t="shared" si="100"/>
        <v>0</v>
      </c>
      <c r="H236" s="6">
        <f t="shared" si="62"/>
        <v>0</v>
      </c>
      <c r="I236" s="6">
        <f t="shared" si="110"/>
        <v>0</v>
      </c>
      <c r="J236" s="6">
        <f>IF(SUM($I$126:I236)&gt;$E$61, SUM($I$126:I236)-SUM($J$125:J235)-$E$61,0)</f>
        <v>0</v>
      </c>
      <c r="K236" s="6" t="e">
        <f t="shared" si="63"/>
        <v>#DIV/0!</v>
      </c>
      <c r="L236" s="6" t="e">
        <f t="shared" si="64"/>
        <v>#DIV/0!</v>
      </c>
      <c r="M236" s="6" t="e">
        <f t="shared" si="65"/>
        <v>#DIV/0!</v>
      </c>
      <c r="N236" s="6">
        <f t="shared" si="66"/>
        <v>0</v>
      </c>
      <c r="O236" s="6">
        <f t="shared" si="67"/>
        <v>0</v>
      </c>
      <c r="P236" s="6">
        <f t="shared" si="68"/>
        <v>0</v>
      </c>
      <c r="Q236" s="6">
        <f t="shared" si="69"/>
        <v>0</v>
      </c>
      <c r="R236" s="6" t="e">
        <f t="shared" si="101"/>
        <v>#DIV/0!</v>
      </c>
      <c r="S236" s="6" t="e">
        <f t="shared" si="70"/>
        <v>#DIV/0!</v>
      </c>
      <c r="T236" s="11" t="e">
        <f>SUM($R$126:R236)/($E$87)</f>
        <v>#DIV/0!</v>
      </c>
      <c r="U236" s="89" t="e">
        <f t="shared" si="71"/>
        <v>#DIV/0!</v>
      </c>
      <c r="V236" s="6" t="e">
        <f t="shared" si="72"/>
        <v>#DIV/0!</v>
      </c>
      <c r="W236" s="6" t="e">
        <f t="shared" si="102"/>
        <v>#DIV/0!</v>
      </c>
      <c r="X236" s="6" t="e">
        <f t="shared" si="73"/>
        <v>#DIV/0!</v>
      </c>
      <c r="Y236" s="6" t="e">
        <f t="shared" si="74"/>
        <v>#DIV/0!</v>
      </c>
      <c r="Z236" s="90" t="e">
        <f t="shared" si="75"/>
        <v>#DIV/0!</v>
      </c>
      <c r="AA236" s="89" t="e">
        <f t="shared" si="76"/>
        <v>#DIV/0!</v>
      </c>
      <c r="AB236" s="6" t="e">
        <f t="shared" si="77"/>
        <v>#DIV/0!</v>
      </c>
      <c r="AC236" s="6" t="e">
        <f t="shared" si="111"/>
        <v>#NUM!</v>
      </c>
      <c r="AD236" s="90" t="e">
        <f t="shared" si="79"/>
        <v>#NUM!</v>
      </c>
      <c r="AE236" s="6" t="e">
        <f t="shared" si="80"/>
        <v>#DIV/0!</v>
      </c>
      <c r="AF236" s="6" t="e">
        <f>IF(SUM(AE237:$AE$245)-SUM(AJ237:$AK$245,AN237:$AN$245)&gt;$E$42,0,IF(SUM($AF$125:AF235)=0,$E$42-(SUM(AE237:$AE$245)-SUM(AJ237:$AK$245,AN237:$AN$245)),AE236-SUM(AJ236:AK236,AN236)))</f>
        <v>#DIV/0!</v>
      </c>
      <c r="AG236" s="89" t="e">
        <f t="shared" si="81"/>
        <v>#DIV/0!</v>
      </c>
      <c r="AH236" s="6" t="e">
        <f t="shared" si="103"/>
        <v>#DIV/0!</v>
      </c>
      <c r="AI236" s="6" t="e">
        <f t="shared" si="82"/>
        <v>#DIV/0!</v>
      </c>
      <c r="AJ236" s="6">
        <f t="shared" si="83"/>
        <v>0</v>
      </c>
      <c r="AK236" s="90">
        <f t="shared" si="84"/>
        <v>0</v>
      </c>
      <c r="AL236" s="6" t="e">
        <f t="shared" si="85"/>
        <v>#DIV/0!</v>
      </c>
      <c r="AM236" s="6" t="e">
        <f t="shared" si="104"/>
        <v>#NUM!</v>
      </c>
      <c r="AN236" s="6">
        <f t="shared" si="86"/>
        <v>0</v>
      </c>
      <c r="AO236" s="6" t="e">
        <f t="shared" si="87"/>
        <v>#DIV/0!</v>
      </c>
      <c r="AP236" s="15">
        <f>IFERROR(XIRR($AO$125:AO236,$D$125:D236),-100%)</f>
        <v>-1</v>
      </c>
      <c r="AQ236" s="129" t="e">
        <f t="shared" si="88"/>
        <v>#NUM!</v>
      </c>
      <c r="AR236" s="300">
        <v>0</v>
      </c>
      <c r="AS236" s="130" t="e">
        <f t="shared" si="112"/>
        <v>#DIV/0!</v>
      </c>
      <c r="AT236" s="10">
        <f>IFERROR(XIRR($AS$125:$AS236,$D$125:$D236),-100%)</f>
        <v>-1</v>
      </c>
      <c r="AU236" s="300">
        <v>0</v>
      </c>
      <c r="AV236" s="130" t="e">
        <f t="shared" si="113"/>
        <v>#DIV/0!</v>
      </c>
      <c r="AW236" s="131">
        <f>IFERROR(XIRR($AV$125:$AV236,$D$125:$D236),-100%)</f>
        <v>-1</v>
      </c>
      <c r="AX236" s="213">
        <f t="shared" si="105"/>
        <v>0</v>
      </c>
      <c r="AY236" s="200" t="e">
        <f t="shared" si="114"/>
        <v>#DIV/0!</v>
      </c>
      <c r="AZ236" s="159">
        <f t="shared" si="115"/>
        <v>0</v>
      </c>
      <c r="BA236" s="148" t="e">
        <f t="shared" si="106"/>
        <v>#NUM!</v>
      </c>
      <c r="BB236" s="6" t="e">
        <f t="shared" si="116"/>
        <v>#NUM!</v>
      </c>
      <c r="BC236" s="6" t="e">
        <f t="shared" si="117"/>
        <v>#NUM!</v>
      </c>
      <c r="BD236" s="149" t="e">
        <f t="shared" si="95"/>
        <v>#NUM!</v>
      </c>
      <c r="BE236" s="148" t="e">
        <f t="shared" si="107"/>
        <v>#NUM!</v>
      </c>
      <c r="BF236" s="6" t="e">
        <f t="shared" si="118"/>
        <v>#NUM!</v>
      </c>
      <c r="BG236" s="6" t="e">
        <f t="shared" si="119"/>
        <v>#DIV/0!</v>
      </c>
      <c r="BH236" s="6" t="e">
        <f t="shared" si="108"/>
        <v>#NUM!</v>
      </c>
      <c r="BI236" s="138" t="e">
        <f t="shared" si="120"/>
        <v>#DIV/0!</v>
      </c>
    </row>
    <row r="237" spans="1:61" x14ac:dyDescent="0.25">
      <c r="A237"/>
      <c r="B237" s="9">
        <f t="shared" si="109"/>
        <v>10</v>
      </c>
      <c r="C237" s="13">
        <v>112</v>
      </c>
      <c r="D237" s="12">
        <f t="shared" si="99"/>
        <v>3439</v>
      </c>
      <c r="E237" s="6">
        <f>INDEX(GC!$G$25:$G$144,MATCH($D237,GC!$C$25:$C$144,0))</f>
        <v>0</v>
      </c>
      <c r="F237" s="247">
        <f>INDEX(GC!$I$25:$I$144,MATCH($D237,GC!$C$25:$C$144,0))</f>
        <v>0</v>
      </c>
      <c r="G237" s="6">
        <f t="shared" si="100"/>
        <v>0</v>
      </c>
      <c r="H237" s="6">
        <f t="shared" si="62"/>
        <v>0</v>
      </c>
      <c r="I237" s="6">
        <f t="shared" si="110"/>
        <v>0</v>
      </c>
      <c r="J237" s="6">
        <f>IF(SUM($I$126:I237)&gt;$E$61, SUM($I$126:I237)-SUM($J$125:J236)-$E$61,0)</f>
        <v>0</v>
      </c>
      <c r="K237" s="6" t="e">
        <f t="shared" si="63"/>
        <v>#DIV/0!</v>
      </c>
      <c r="L237" s="6" t="e">
        <f t="shared" si="64"/>
        <v>#DIV/0!</v>
      </c>
      <c r="M237" s="6" t="e">
        <f t="shared" si="65"/>
        <v>#DIV/0!</v>
      </c>
      <c r="N237" s="6">
        <f t="shared" si="66"/>
        <v>0</v>
      </c>
      <c r="O237" s="6">
        <f t="shared" si="67"/>
        <v>0</v>
      </c>
      <c r="P237" s="6">
        <f t="shared" si="68"/>
        <v>0</v>
      </c>
      <c r="Q237" s="6">
        <f t="shared" si="69"/>
        <v>0</v>
      </c>
      <c r="R237" s="6" t="e">
        <f t="shared" si="101"/>
        <v>#DIV/0!</v>
      </c>
      <c r="S237" s="6" t="e">
        <f t="shared" si="70"/>
        <v>#DIV/0!</v>
      </c>
      <c r="T237" s="11" t="e">
        <f>SUM($R$126:R237)/($E$87)</f>
        <v>#DIV/0!</v>
      </c>
      <c r="U237" s="89" t="e">
        <f t="shared" si="71"/>
        <v>#DIV/0!</v>
      </c>
      <c r="V237" s="6" t="e">
        <f t="shared" si="72"/>
        <v>#DIV/0!</v>
      </c>
      <c r="W237" s="6" t="e">
        <f t="shared" si="102"/>
        <v>#DIV/0!</v>
      </c>
      <c r="X237" s="6" t="e">
        <f t="shared" si="73"/>
        <v>#DIV/0!</v>
      </c>
      <c r="Y237" s="6" t="e">
        <f t="shared" si="74"/>
        <v>#DIV/0!</v>
      </c>
      <c r="Z237" s="90" t="e">
        <f t="shared" si="75"/>
        <v>#DIV/0!</v>
      </c>
      <c r="AA237" s="89" t="e">
        <f t="shared" si="76"/>
        <v>#DIV/0!</v>
      </c>
      <c r="AB237" s="6" t="e">
        <f t="shared" si="77"/>
        <v>#DIV/0!</v>
      </c>
      <c r="AC237" s="6" t="e">
        <f t="shared" si="111"/>
        <v>#NUM!</v>
      </c>
      <c r="AD237" s="90" t="e">
        <f t="shared" si="79"/>
        <v>#NUM!</v>
      </c>
      <c r="AE237" s="6" t="e">
        <f t="shared" si="80"/>
        <v>#DIV/0!</v>
      </c>
      <c r="AF237" s="6" t="e">
        <f>IF(SUM(AE238:$AE$245)-SUM(AJ238:$AK$245,AN238:$AN$245)&gt;$E$42,0,IF(SUM($AF$125:AF236)=0,$E$42-(SUM(AE238:$AE$245)-SUM(AJ238:$AK$245,AN238:$AN$245)),AE237-SUM(AJ237:AK237,AN237)))</f>
        <v>#DIV/0!</v>
      </c>
      <c r="AG237" s="89" t="e">
        <f t="shared" si="81"/>
        <v>#DIV/0!</v>
      </c>
      <c r="AH237" s="6" t="e">
        <f t="shared" si="103"/>
        <v>#DIV/0!</v>
      </c>
      <c r="AI237" s="6" t="e">
        <f t="shared" si="82"/>
        <v>#DIV/0!</v>
      </c>
      <c r="AJ237" s="6">
        <f t="shared" si="83"/>
        <v>0</v>
      </c>
      <c r="AK237" s="90">
        <f t="shared" si="84"/>
        <v>0</v>
      </c>
      <c r="AL237" s="6" t="e">
        <f t="shared" si="85"/>
        <v>#DIV/0!</v>
      </c>
      <c r="AM237" s="6" t="e">
        <f t="shared" si="104"/>
        <v>#NUM!</v>
      </c>
      <c r="AN237" s="6">
        <f t="shared" si="86"/>
        <v>0</v>
      </c>
      <c r="AO237" s="6" t="e">
        <f t="shared" si="87"/>
        <v>#DIV/0!</v>
      </c>
      <c r="AP237" s="15">
        <f>IFERROR(XIRR($AO$125:AO237,$D$125:D237),-100%)</f>
        <v>-1</v>
      </c>
      <c r="AQ237" s="129" t="e">
        <f t="shared" si="88"/>
        <v>#NUM!</v>
      </c>
      <c r="AR237" s="300">
        <v>0</v>
      </c>
      <c r="AS237" s="130" t="e">
        <f t="shared" si="112"/>
        <v>#DIV/0!</v>
      </c>
      <c r="AT237" s="10">
        <f>IFERROR(XIRR($AS$125:$AS237,$D$125:$D237),-100%)</f>
        <v>-1</v>
      </c>
      <c r="AU237" s="300">
        <v>0</v>
      </c>
      <c r="AV237" s="130" t="e">
        <f t="shared" si="113"/>
        <v>#DIV/0!</v>
      </c>
      <c r="AW237" s="131">
        <f>IFERROR(XIRR($AV$125:$AV237,$D$125:$D237),-100%)</f>
        <v>-1</v>
      </c>
      <c r="AX237" s="213">
        <f t="shared" si="105"/>
        <v>0</v>
      </c>
      <c r="AY237" s="200" t="e">
        <f t="shared" si="114"/>
        <v>#DIV/0!</v>
      </c>
      <c r="AZ237" s="159">
        <f t="shared" si="115"/>
        <v>0</v>
      </c>
      <c r="BA237" s="148" t="e">
        <f t="shared" si="106"/>
        <v>#NUM!</v>
      </c>
      <c r="BB237" s="6" t="e">
        <f t="shared" si="116"/>
        <v>#NUM!</v>
      </c>
      <c r="BC237" s="6" t="e">
        <f t="shared" si="117"/>
        <v>#NUM!</v>
      </c>
      <c r="BD237" s="149" t="e">
        <f t="shared" si="95"/>
        <v>#NUM!</v>
      </c>
      <c r="BE237" s="148" t="e">
        <f t="shared" si="107"/>
        <v>#NUM!</v>
      </c>
      <c r="BF237" s="6" t="e">
        <f t="shared" si="118"/>
        <v>#NUM!</v>
      </c>
      <c r="BG237" s="6" t="e">
        <f t="shared" si="119"/>
        <v>#DIV/0!</v>
      </c>
      <c r="BH237" s="6" t="e">
        <f t="shared" si="108"/>
        <v>#NUM!</v>
      </c>
      <c r="BI237" s="138" t="e">
        <f t="shared" si="120"/>
        <v>#DIV/0!</v>
      </c>
    </row>
    <row r="238" spans="1:61" x14ac:dyDescent="0.25">
      <c r="A238"/>
      <c r="B238" s="9">
        <f t="shared" si="109"/>
        <v>10</v>
      </c>
      <c r="C238" s="13">
        <v>113</v>
      </c>
      <c r="D238" s="12">
        <f t="shared" si="99"/>
        <v>3469</v>
      </c>
      <c r="E238" s="6">
        <f>INDEX(GC!$G$25:$G$144,MATCH($D238,GC!$C$25:$C$144,0))</f>
        <v>0</v>
      </c>
      <c r="F238" s="247">
        <f>INDEX(GC!$I$25:$I$144,MATCH($D238,GC!$C$25:$C$144,0))</f>
        <v>0</v>
      </c>
      <c r="G238" s="6">
        <f t="shared" si="100"/>
        <v>0</v>
      </c>
      <c r="H238" s="6">
        <f t="shared" si="62"/>
        <v>0</v>
      </c>
      <c r="I238" s="6">
        <f t="shared" si="110"/>
        <v>0</v>
      </c>
      <c r="J238" s="6">
        <f>IF(SUM($I$126:I238)&gt;$E$61, SUM($I$126:I238)-SUM($J$125:J237)-$E$61,0)</f>
        <v>0</v>
      </c>
      <c r="K238" s="6" t="e">
        <f t="shared" si="63"/>
        <v>#DIV/0!</v>
      </c>
      <c r="L238" s="6" t="e">
        <f t="shared" si="64"/>
        <v>#DIV/0!</v>
      </c>
      <c r="M238" s="6" t="e">
        <f t="shared" si="65"/>
        <v>#DIV/0!</v>
      </c>
      <c r="N238" s="6">
        <f t="shared" si="66"/>
        <v>0</v>
      </c>
      <c r="O238" s="6">
        <f t="shared" si="67"/>
        <v>0</v>
      </c>
      <c r="P238" s="6">
        <f t="shared" si="68"/>
        <v>0</v>
      </c>
      <c r="Q238" s="6">
        <f t="shared" si="69"/>
        <v>0</v>
      </c>
      <c r="R238" s="6" t="e">
        <f t="shared" si="101"/>
        <v>#DIV/0!</v>
      </c>
      <c r="S238" s="6" t="e">
        <f t="shared" si="70"/>
        <v>#DIV/0!</v>
      </c>
      <c r="T238" s="11" t="e">
        <f>SUM($R$126:R238)/($E$87)</f>
        <v>#DIV/0!</v>
      </c>
      <c r="U238" s="89" t="e">
        <f t="shared" si="71"/>
        <v>#DIV/0!</v>
      </c>
      <c r="V238" s="6" t="e">
        <f t="shared" si="72"/>
        <v>#DIV/0!</v>
      </c>
      <c r="W238" s="6" t="e">
        <f t="shared" si="102"/>
        <v>#DIV/0!</v>
      </c>
      <c r="X238" s="6" t="e">
        <f t="shared" si="73"/>
        <v>#DIV/0!</v>
      </c>
      <c r="Y238" s="6" t="e">
        <f t="shared" si="74"/>
        <v>#DIV/0!</v>
      </c>
      <c r="Z238" s="90" t="e">
        <f t="shared" si="75"/>
        <v>#DIV/0!</v>
      </c>
      <c r="AA238" s="89" t="e">
        <f t="shared" si="76"/>
        <v>#DIV/0!</v>
      </c>
      <c r="AB238" s="6" t="e">
        <f t="shared" si="77"/>
        <v>#DIV/0!</v>
      </c>
      <c r="AC238" s="6" t="e">
        <f t="shared" si="111"/>
        <v>#NUM!</v>
      </c>
      <c r="AD238" s="90" t="e">
        <f t="shared" si="79"/>
        <v>#NUM!</v>
      </c>
      <c r="AE238" s="6" t="e">
        <f t="shared" si="80"/>
        <v>#DIV/0!</v>
      </c>
      <c r="AF238" s="6" t="e">
        <f>IF(SUM(AE239:$AE$245)-SUM(AJ239:$AK$245,AN239:$AN$245)&gt;$E$42,0,IF(SUM($AF$125:AF237)=0,$E$42-(SUM(AE239:$AE$245)-SUM(AJ239:$AK$245,AN239:$AN$245)),AE238-SUM(AJ238:AK238,AN238)))</f>
        <v>#DIV/0!</v>
      </c>
      <c r="AG238" s="89" t="e">
        <f t="shared" si="81"/>
        <v>#DIV/0!</v>
      </c>
      <c r="AH238" s="6" t="e">
        <f t="shared" si="103"/>
        <v>#DIV/0!</v>
      </c>
      <c r="AI238" s="6" t="e">
        <f t="shared" si="82"/>
        <v>#DIV/0!</v>
      </c>
      <c r="AJ238" s="6">
        <f t="shared" si="83"/>
        <v>0</v>
      </c>
      <c r="AK238" s="90">
        <f t="shared" si="84"/>
        <v>0</v>
      </c>
      <c r="AL238" s="6" t="e">
        <f t="shared" si="85"/>
        <v>#DIV/0!</v>
      </c>
      <c r="AM238" s="6" t="e">
        <f t="shared" si="104"/>
        <v>#NUM!</v>
      </c>
      <c r="AN238" s="6">
        <f t="shared" si="86"/>
        <v>0</v>
      </c>
      <c r="AO238" s="6" t="e">
        <f t="shared" si="87"/>
        <v>#DIV/0!</v>
      </c>
      <c r="AP238" s="15">
        <f>IFERROR(XIRR($AO$125:AO238,$D$125:D238),-100%)</f>
        <v>-1</v>
      </c>
      <c r="AQ238" s="129" t="e">
        <f t="shared" si="88"/>
        <v>#NUM!</v>
      </c>
      <c r="AR238" s="300">
        <v>0</v>
      </c>
      <c r="AS238" s="130" t="e">
        <f t="shared" si="112"/>
        <v>#DIV/0!</v>
      </c>
      <c r="AT238" s="10">
        <f>IFERROR(XIRR($AS$125:$AS238,$D$125:$D238),-100%)</f>
        <v>-1</v>
      </c>
      <c r="AU238" s="300">
        <v>0</v>
      </c>
      <c r="AV238" s="130" t="e">
        <f t="shared" si="113"/>
        <v>#DIV/0!</v>
      </c>
      <c r="AW238" s="131">
        <f>IFERROR(XIRR($AV$125:$AV238,$D$125:$D238),-100%)</f>
        <v>-1</v>
      </c>
      <c r="AX238" s="213">
        <f t="shared" si="105"/>
        <v>0</v>
      </c>
      <c r="AY238" s="200" t="e">
        <f t="shared" si="114"/>
        <v>#DIV/0!</v>
      </c>
      <c r="AZ238" s="159">
        <f t="shared" si="115"/>
        <v>0</v>
      </c>
      <c r="BA238" s="148" t="e">
        <f t="shared" si="106"/>
        <v>#NUM!</v>
      </c>
      <c r="BB238" s="6" t="e">
        <f t="shared" si="116"/>
        <v>#NUM!</v>
      </c>
      <c r="BC238" s="6" t="e">
        <f t="shared" si="117"/>
        <v>#NUM!</v>
      </c>
      <c r="BD238" s="149" t="e">
        <f t="shared" si="95"/>
        <v>#NUM!</v>
      </c>
      <c r="BE238" s="148" t="e">
        <f t="shared" si="107"/>
        <v>#NUM!</v>
      </c>
      <c r="BF238" s="6" t="e">
        <f t="shared" si="118"/>
        <v>#NUM!</v>
      </c>
      <c r="BG238" s="6" t="e">
        <f t="shared" si="119"/>
        <v>#DIV/0!</v>
      </c>
      <c r="BH238" s="6" t="e">
        <f t="shared" si="108"/>
        <v>#NUM!</v>
      </c>
      <c r="BI238" s="138" t="e">
        <f t="shared" si="120"/>
        <v>#DIV/0!</v>
      </c>
    </row>
    <row r="239" spans="1:61" x14ac:dyDescent="0.25">
      <c r="A239"/>
      <c r="B239" s="9">
        <f t="shared" si="109"/>
        <v>10</v>
      </c>
      <c r="C239" s="13">
        <v>114</v>
      </c>
      <c r="D239" s="12">
        <f t="shared" si="99"/>
        <v>3500</v>
      </c>
      <c r="E239" s="6">
        <f>INDEX(GC!$G$25:$G$144,MATCH($D239,GC!$C$25:$C$144,0))</f>
        <v>0</v>
      </c>
      <c r="F239" s="247">
        <f>INDEX(GC!$I$25:$I$144,MATCH($D239,GC!$C$25:$C$144,0))</f>
        <v>0</v>
      </c>
      <c r="G239" s="6">
        <f t="shared" si="100"/>
        <v>0</v>
      </c>
      <c r="H239" s="6">
        <f t="shared" si="62"/>
        <v>0</v>
      </c>
      <c r="I239" s="6">
        <f t="shared" si="110"/>
        <v>0</v>
      </c>
      <c r="J239" s="6">
        <f>IF(SUM($I$126:I239)&gt;$E$61, SUM($I$126:I239)-SUM($J$125:J238)-$E$61,0)</f>
        <v>0</v>
      </c>
      <c r="K239" s="6" t="e">
        <f t="shared" si="63"/>
        <v>#DIV/0!</v>
      </c>
      <c r="L239" s="6" t="e">
        <f t="shared" si="64"/>
        <v>#DIV/0!</v>
      </c>
      <c r="M239" s="6" t="e">
        <f t="shared" si="65"/>
        <v>#DIV/0!</v>
      </c>
      <c r="N239" s="6">
        <f t="shared" si="66"/>
        <v>0</v>
      </c>
      <c r="O239" s="6">
        <f t="shared" si="67"/>
        <v>0</v>
      </c>
      <c r="P239" s="6">
        <f t="shared" si="68"/>
        <v>0</v>
      </c>
      <c r="Q239" s="6">
        <f t="shared" si="69"/>
        <v>0</v>
      </c>
      <c r="R239" s="6" t="e">
        <f t="shared" si="101"/>
        <v>#DIV/0!</v>
      </c>
      <c r="S239" s="6" t="e">
        <f t="shared" si="70"/>
        <v>#DIV/0!</v>
      </c>
      <c r="T239" s="11" t="e">
        <f>SUM($R$126:R239)/($E$87)</f>
        <v>#DIV/0!</v>
      </c>
      <c r="U239" s="89" t="e">
        <f t="shared" si="71"/>
        <v>#DIV/0!</v>
      </c>
      <c r="V239" s="6" t="e">
        <f t="shared" si="72"/>
        <v>#DIV/0!</v>
      </c>
      <c r="W239" s="6" t="e">
        <f t="shared" si="102"/>
        <v>#DIV/0!</v>
      </c>
      <c r="X239" s="6" t="e">
        <f t="shared" si="73"/>
        <v>#DIV/0!</v>
      </c>
      <c r="Y239" s="6" t="e">
        <f t="shared" si="74"/>
        <v>#DIV/0!</v>
      </c>
      <c r="Z239" s="90" t="e">
        <f t="shared" si="75"/>
        <v>#DIV/0!</v>
      </c>
      <c r="AA239" s="89" t="e">
        <f t="shared" si="76"/>
        <v>#DIV/0!</v>
      </c>
      <c r="AB239" s="6" t="e">
        <f t="shared" si="77"/>
        <v>#DIV/0!</v>
      </c>
      <c r="AC239" s="6" t="e">
        <f t="shared" si="111"/>
        <v>#NUM!</v>
      </c>
      <c r="AD239" s="90" t="e">
        <f t="shared" si="79"/>
        <v>#NUM!</v>
      </c>
      <c r="AE239" s="6" t="e">
        <f t="shared" si="80"/>
        <v>#DIV/0!</v>
      </c>
      <c r="AF239" s="6" t="e">
        <f>IF(SUM(AE240:$AE$245)-SUM(AJ240:$AK$245,AN240:$AN$245)&gt;$E$42,0,IF(SUM($AF$125:AF238)=0,$E$42-(SUM(AE240:$AE$245)-SUM(AJ240:$AK$245,AN240:$AN$245)),AE239-SUM(AJ239:AK239,AN239)))</f>
        <v>#DIV/0!</v>
      </c>
      <c r="AG239" s="89" t="e">
        <f t="shared" si="81"/>
        <v>#DIV/0!</v>
      </c>
      <c r="AH239" s="6" t="e">
        <f t="shared" si="103"/>
        <v>#DIV/0!</v>
      </c>
      <c r="AI239" s="6" t="e">
        <f t="shared" si="82"/>
        <v>#DIV/0!</v>
      </c>
      <c r="AJ239" s="6">
        <f t="shared" si="83"/>
        <v>0</v>
      </c>
      <c r="AK239" s="90">
        <f t="shared" si="84"/>
        <v>0</v>
      </c>
      <c r="AL239" s="6" t="e">
        <f t="shared" si="85"/>
        <v>#DIV/0!</v>
      </c>
      <c r="AM239" s="6" t="e">
        <f t="shared" si="104"/>
        <v>#NUM!</v>
      </c>
      <c r="AN239" s="6">
        <f t="shared" si="86"/>
        <v>0</v>
      </c>
      <c r="AO239" s="6" t="e">
        <f t="shared" si="87"/>
        <v>#DIV/0!</v>
      </c>
      <c r="AP239" s="15">
        <f>IFERROR(XIRR($AO$125:AO239,$D$125:D239),-100%)</f>
        <v>-1</v>
      </c>
      <c r="AQ239" s="129" t="e">
        <f t="shared" si="88"/>
        <v>#NUM!</v>
      </c>
      <c r="AR239" s="300">
        <v>0</v>
      </c>
      <c r="AS239" s="130" t="e">
        <f t="shared" si="112"/>
        <v>#DIV/0!</v>
      </c>
      <c r="AT239" s="10">
        <f>IFERROR(XIRR($AS$125:$AS239,$D$125:$D239),-100%)</f>
        <v>-1</v>
      </c>
      <c r="AU239" s="300">
        <v>0</v>
      </c>
      <c r="AV239" s="130" t="e">
        <f t="shared" si="113"/>
        <v>#DIV/0!</v>
      </c>
      <c r="AW239" s="131">
        <f>IFERROR(XIRR($AV$125:$AV239,$D$125:$D239),-100%)</f>
        <v>-1</v>
      </c>
      <c r="AX239" s="213">
        <f t="shared" si="105"/>
        <v>0</v>
      </c>
      <c r="AY239" s="200" t="e">
        <f t="shared" si="114"/>
        <v>#DIV/0!</v>
      </c>
      <c r="AZ239" s="159">
        <f t="shared" si="115"/>
        <v>0</v>
      </c>
      <c r="BA239" s="148" t="e">
        <f t="shared" si="106"/>
        <v>#NUM!</v>
      </c>
      <c r="BB239" s="6" t="e">
        <f t="shared" si="116"/>
        <v>#NUM!</v>
      </c>
      <c r="BC239" s="6" t="e">
        <f t="shared" si="117"/>
        <v>#NUM!</v>
      </c>
      <c r="BD239" s="149" t="e">
        <f t="shared" si="95"/>
        <v>#NUM!</v>
      </c>
      <c r="BE239" s="148" t="e">
        <f t="shared" si="107"/>
        <v>#NUM!</v>
      </c>
      <c r="BF239" s="6" t="e">
        <f t="shared" si="118"/>
        <v>#NUM!</v>
      </c>
      <c r="BG239" s="6" t="e">
        <f t="shared" si="119"/>
        <v>#DIV/0!</v>
      </c>
      <c r="BH239" s="6" t="e">
        <f t="shared" si="108"/>
        <v>#NUM!</v>
      </c>
      <c r="BI239" s="138" t="e">
        <f t="shared" si="120"/>
        <v>#DIV/0!</v>
      </c>
    </row>
    <row r="240" spans="1:61" x14ac:dyDescent="0.25">
      <c r="A240"/>
      <c r="B240" s="9">
        <f t="shared" si="109"/>
        <v>10</v>
      </c>
      <c r="C240" s="13">
        <v>115</v>
      </c>
      <c r="D240" s="12">
        <f t="shared" si="99"/>
        <v>3531</v>
      </c>
      <c r="E240" s="6">
        <f>INDEX(GC!$G$25:$G$144,MATCH($D240,GC!$C$25:$C$144,0))</f>
        <v>0</v>
      </c>
      <c r="F240" s="247">
        <f>INDEX(GC!$I$25:$I$144,MATCH($D240,GC!$C$25:$C$144,0))</f>
        <v>0</v>
      </c>
      <c r="G240" s="6">
        <f t="shared" si="100"/>
        <v>0</v>
      </c>
      <c r="H240" s="6">
        <f t="shared" si="62"/>
        <v>0</v>
      </c>
      <c r="I240" s="6">
        <f t="shared" si="110"/>
        <v>0</v>
      </c>
      <c r="J240" s="6">
        <f>IF(SUM($I$126:I240)&gt;$E$61, SUM($I$126:I240)-SUM($J$125:J239)-$E$61,0)</f>
        <v>0</v>
      </c>
      <c r="K240" s="6" t="e">
        <f t="shared" si="63"/>
        <v>#DIV/0!</v>
      </c>
      <c r="L240" s="6" t="e">
        <f t="shared" si="64"/>
        <v>#DIV/0!</v>
      </c>
      <c r="M240" s="6" t="e">
        <f t="shared" si="65"/>
        <v>#DIV/0!</v>
      </c>
      <c r="N240" s="6">
        <f t="shared" si="66"/>
        <v>0</v>
      </c>
      <c r="O240" s="6">
        <f t="shared" si="67"/>
        <v>0</v>
      </c>
      <c r="P240" s="6">
        <f t="shared" si="68"/>
        <v>0</v>
      </c>
      <c r="Q240" s="6">
        <f t="shared" si="69"/>
        <v>0</v>
      </c>
      <c r="R240" s="6" t="e">
        <f t="shared" si="101"/>
        <v>#DIV/0!</v>
      </c>
      <c r="S240" s="6" t="e">
        <f t="shared" si="70"/>
        <v>#DIV/0!</v>
      </c>
      <c r="T240" s="11" t="e">
        <f>SUM($R$126:R240)/($E$87)</f>
        <v>#DIV/0!</v>
      </c>
      <c r="U240" s="89" t="e">
        <f t="shared" si="71"/>
        <v>#DIV/0!</v>
      </c>
      <c r="V240" s="6" t="e">
        <f t="shared" si="72"/>
        <v>#DIV/0!</v>
      </c>
      <c r="W240" s="6" t="e">
        <f t="shared" si="102"/>
        <v>#DIV/0!</v>
      </c>
      <c r="X240" s="6" t="e">
        <f t="shared" si="73"/>
        <v>#DIV/0!</v>
      </c>
      <c r="Y240" s="6" t="e">
        <f t="shared" si="74"/>
        <v>#DIV/0!</v>
      </c>
      <c r="Z240" s="90" t="e">
        <f t="shared" si="75"/>
        <v>#DIV/0!</v>
      </c>
      <c r="AA240" s="89" t="e">
        <f t="shared" si="76"/>
        <v>#DIV/0!</v>
      </c>
      <c r="AB240" s="6" t="e">
        <f t="shared" si="77"/>
        <v>#DIV/0!</v>
      </c>
      <c r="AC240" s="6" t="e">
        <f t="shared" si="111"/>
        <v>#NUM!</v>
      </c>
      <c r="AD240" s="90" t="e">
        <f t="shared" si="79"/>
        <v>#NUM!</v>
      </c>
      <c r="AE240" s="6" t="e">
        <f t="shared" si="80"/>
        <v>#DIV/0!</v>
      </c>
      <c r="AF240" s="6" t="e">
        <f>IF(SUM(AE241:$AE$245)-SUM(AJ241:$AK$245,AN241:$AN$245)&gt;$E$42,0,IF(SUM($AF$125:AF239)=0,$E$42-(SUM(AE241:$AE$245)-SUM(AJ241:$AK$245,AN241:$AN$245)),AE240-SUM(AJ240:AK240,AN240)))</f>
        <v>#DIV/0!</v>
      </c>
      <c r="AG240" s="89" t="e">
        <f t="shared" si="81"/>
        <v>#DIV/0!</v>
      </c>
      <c r="AH240" s="6" t="e">
        <f t="shared" si="103"/>
        <v>#DIV/0!</v>
      </c>
      <c r="AI240" s="6" t="e">
        <f t="shared" si="82"/>
        <v>#DIV/0!</v>
      </c>
      <c r="AJ240" s="6">
        <f t="shared" si="83"/>
        <v>0</v>
      </c>
      <c r="AK240" s="90">
        <f t="shared" si="84"/>
        <v>0</v>
      </c>
      <c r="AL240" s="6" t="e">
        <f t="shared" si="85"/>
        <v>#DIV/0!</v>
      </c>
      <c r="AM240" s="6" t="e">
        <f t="shared" si="104"/>
        <v>#NUM!</v>
      </c>
      <c r="AN240" s="6">
        <f t="shared" si="86"/>
        <v>0</v>
      </c>
      <c r="AO240" s="6" t="e">
        <f t="shared" si="87"/>
        <v>#DIV/0!</v>
      </c>
      <c r="AP240" s="15">
        <f>IFERROR(XIRR($AO$125:AO240,$D$125:D240),-100%)</f>
        <v>-1</v>
      </c>
      <c r="AQ240" s="129" t="e">
        <f t="shared" si="88"/>
        <v>#NUM!</v>
      </c>
      <c r="AR240" s="300">
        <v>0</v>
      </c>
      <c r="AS240" s="130" t="e">
        <f t="shared" si="112"/>
        <v>#DIV/0!</v>
      </c>
      <c r="AT240" s="10">
        <f>IFERROR(XIRR($AS$125:$AS240,$D$125:$D240),-100%)</f>
        <v>-1</v>
      </c>
      <c r="AU240" s="300">
        <v>0</v>
      </c>
      <c r="AV240" s="130" t="e">
        <f t="shared" si="113"/>
        <v>#DIV/0!</v>
      </c>
      <c r="AW240" s="131">
        <f>IFERROR(XIRR($AV$125:$AV240,$D$125:$D240),-100%)</f>
        <v>-1</v>
      </c>
      <c r="AX240" s="213">
        <f t="shared" si="105"/>
        <v>0</v>
      </c>
      <c r="AY240" s="200" t="e">
        <f t="shared" si="114"/>
        <v>#DIV/0!</v>
      </c>
      <c r="AZ240" s="159">
        <f t="shared" si="115"/>
        <v>0</v>
      </c>
      <c r="BA240" s="148" t="e">
        <f t="shared" si="106"/>
        <v>#NUM!</v>
      </c>
      <c r="BB240" s="6" t="e">
        <f t="shared" si="116"/>
        <v>#NUM!</v>
      </c>
      <c r="BC240" s="6" t="e">
        <f t="shared" si="117"/>
        <v>#NUM!</v>
      </c>
      <c r="BD240" s="149" t="e">
        <f t="shared" si="95"/>
        <v>#NUM!</v>
      </c>
      <c r="BE240" s="148" t="e">
        <f t="shared" si="107"/>
        <v>#NUM!</v>
      </c>
      <c r="BF240" s="6" t="e">
        <f t="shared" si="118"/>
        <v>#NUM!</v>
      </c>
      <c r="BG240" s="6" t="e">
        <f t="shared" si="119"/>
        <v>#DIV/0!</v>
      </c>
      <c r="BH240" s="6" t="e">
        <f t="shared" si="108"/>
        <v>#NUM!</v>
      </c>
      <c r="BI240" s="138" t="e">
        <f t="shared" si="120"/>
        <v>#DIV/0!</v>
      </c>
    </row>
    <row r="241" spans="1:61" x14ac:dyDescent="0.25">
      <c r="A241"/>
      <c r="B241" s="9">
        <f t="shared" si="109"/>
        <v>10</v>
      </c>
      <c r="C241" s="13">
        <v>116</v>
      </c>
      <c r="D241" s="12">
        <f t="shared" si="99"/>
        <v>3561</v>
      </c>
      <c r="E241" s="6">
        <f>INDEX(GC!$G$25:$G$144,MATCH($D241,GC!$C$25:$C$144,0))</f>
        <v>0</v>
      </c>
      <c r="F241" s="247">
        <f>INDEX(GC!$I$25:$I$144,MATCH($D241,GC!$C$25:$C$144,0))</f>
        <v>0</v>
      </c>
      <c r="G241" s="6">
        <f t="shared" si="100"/>
        <v>0</v>
      </c>
      <c r="H241" s="6">
        <f t="shared" si="62"/>
        <v>0</v>
      </c>
      <c r="I241" s="6">
        <f t="shared" si="110"/>
        <v>0</v>
      </c>
      <c r="J241" s="6">
        <f>IF(SUM($I$126:I241)&gt;$E$61, SUM($I$126:I241)-SUM($J$125:J240)-$E$61,0)</f>
        <v>0</v>
      </c>
      <c r="K241" s="6" t="e">
        <f t="shared" si="63"/>
        <v>#DIV/0!</v>
      </c>
      <c r="L241" s="6" t="e">
        <f t="shared" si="64"/>
        <v>#DIV/0!</v>
      </c>
      <c r="M241" s="6" t="e">
        <f t="shared" si="65"/>
        <v>#DIV/0!</v>
      </c>
      <c r="N241" s="6">
        <f t="shared" si="66"/>
        <v>0</v>
      </c>
      <c r="O241" s="6">
        <f t="shared" si="67"/>
        <v>0</v>
      </c>
      <c r="P241" s="6">
        <f t="shared" si="68"/>
        <v>0</v>
      </c>
      <c r="Q241" s="6">
        <f t="shared" si="69"/>
        <v>0</v>
      </c>
      <c r="R241" s="6" t="e">
        <f t="shared" si="101"/>
        <v>#DIV/0!</v>
      </c>
      <c r="S241" s="6" t="e">
        <f t="shared" si="70"/>
        <v>#DIV/0!</v>
      </c>
      <c r="T241" s="11" t="e">
        <f>SUM($R$126:R241)/($E$87)</f>
        <v>#DIV/0!</v>
      </c>
      <c r="U241" s="89" t="e">
        <f t="shared" si="71"/>
        <v>#DIV/0!</v>
      </c>
      <c r="V241" s="6" t="e">
        <f t="shared" si="72"/>
        <v>#DIV/0!</v>
      </c>
      <c r="W241" s="6" t="e">
        <f t="shared" si="102"/>
        <v>#DIV/0!</v>
      </c>
      <c r="X241" s="6" t="e">
        <f t="shared" si="73"/>
        <v>#DIV/0!</v>
      </c>
      <c r="Y241" s="6" t="e">
        <f t="shared" si="74"/>
        <v>#DIV/0!</v>
      </c>
      <c r="Z241" s="90" t="e">
        <f t="shared" si="75"/>
        <v>#DIV/0!</v>
      </c>
      <c r="AA241" s="89" t="e">
        <f t="shared" si="76"/>
        <v>#DIV/0!</v>
      </c>
      <c r="AB241" s="6" t="e">
        <f t="shared" si="77"/>
        <v>#DIV/0!</v>
      </c>
      <c r="AC241" s="6" t="e">
        <f t="shared" si="111"/>
        <v>#NUM!</v>
      </c>
      <c r="AD241" s="90" t="e">
        <f t="shared" si="79"/>
        <v>#NUM!</v>
      </c>
      <c r="AE241" s="6" t="e">
        <f t="shared" si="80"/>
        <v>#DIV/0!</v>
      </c>
      <c r="AF241" s="6" t="e">
        <f>IF(SUM(AE242:$AE$245)-SUM(AJ242:$AK$245,AN242:$AN$245)&gt;$E$42,0,IF(SUM($AF$125:AF240)=0,$E$42-(SUM(AE242:$AE$245)-SUM(AJ242:$AK$245,AN242:$AN$245)),AE241-SUM(AJ241:AK241,AN241)))</f>
        <v>#DIV/0!</v>
      </c>
      <c r="AG241" s="89" t="e">
        <f t="shared" si="81"/>
        <v>#DIV/0!</v>
      </c>
      <c r="AH241" s="6" t="e">
        <f t="shared" si="103"/>
        <v>#DIV/0!</v>
      </c>
      <c r="AI241" s="6" t="e">
        <f t="shared" si="82"/>
        <v>#DIV/0!</v>
      </c>
      <c r="AJ241" s="6">
        <f t="shared" si="83"/>
        <v>0</v>
      </c>
      <c r="AK241" s="90">
        <f t="shared" si="84"/>
        <v>0</v>
      </c>
      <c r="AL241" s="6" t="e">
        <f t="shared" si="85"/>
        <v>#DIV/0!</v>
      </c>
      <c r="AM241" s="6" t="e">
        <f t="shared" si="104"/>
        <v>#NUM!</v>
      </c>
      <c r="AN241" s="6">
        <f t="shared" si="86"/>
        <v>0</v>
      </c>
      <c r="AO241" s="6" t="e">
        <f t="shared" si="87"/>
        <v>#DIV/0!</v>
      </c>
      <c r="AP241" s="15">
        <f>IFERROR(XIRR($AO$125:AO241,$D$125:D241),-100%)</f>
        <v>-1</v>
      </c>
      <c r="AQ241" s="129" t="e">
        <f t="shared" si="88"/>
        <v>#NUM!</v>
      </c>
      <c r="AR241" s="300">
        <v>0</v>
      </c>
      <c r="AS241" s="130" t="e">
        <f t="shared" si="112"/>
        <v>#DIV/0!</v>
      </c>
      <c r="AT241" s="10">
        <f>IFERROR(XIRR($AS$125:$AS241,$D$125:$D241),-100%)</f>
        <v>-1</v>
      </c>
      <c r="AU241" s="300">
        <v>0</v>
      </c>
      <c r="AV241" s="130" t="e">
        <f t="shared" si="113"/>
        <v>#DIV/0!</v>
      </c>
      <c r="AW241" s="131">
        <f>IFERROR(XIRR($AV$125:$AV241,$D$125:$D241),-100%)</f>
        <v>-1</v>
      </c>
      <c r="AX241" s="213">
        <f t="shared" si="105"/>
        <v>0</v>
      </c>
      <c r="AY241" s="200" t="e">
        <f t="shared" si="114"/>
        <v>#DIV/0!</v>
      </c>
      <c r="AZ241" s="159">
        <f t="shared" si="115"/>
        <v>0</v>
      </c>
      <c r="BA241" s="148" t="e">
        <f t="shared" si="106"/>
        <v>#NUM!</v>
      </c>
      <c r="BB241" s="6" t="e">
        <f t="shared" si="116"/>
        <v>#NUM!</v>
      </c>
      <c r="BC241" s="6" t="e">
        <f t="shared" si="117"/>
        <v>#NUM!</v>
      </c>
      <c r="BD241" s="149" t="e">
        <f t="shared" si="95"/>
        <v>#NUM!</v>
      </c>
      <c r="BE241" s="148" t="e">
        <f t="shared" si="107"/>
        <v>#NUM!</v>
      </c>
      <c r="BF241" s="6" t="e">
        <f t="shared" si="118"/>
        <v>#NUM!</v>
      </c>
      <c r="BG241" s="6" t="e">
        <f t="shared" si="119"/>
        <v>#DIV/0!</v>
      </c>
      <c r="BH241" s="6" t="e">
        <f t="shared" si="108"/>
        <v>#NUM!</v>
      </c>
      <c r="BI241" s="138" t="e">
        <f t="shared" si="120"/>
        <v>#DIV/0!</v>
      </c>
    </row>
    <row r="242" spans="1:61" x14ac:dyDescent="0.25">
      <c r="A242"/>
      <c r="B242" s="9">
        <f t="shared" si="109"/>
        <v>10</v>
      </c>
      <c r="C242" s="13">
        <v>117</v>
      </c>
      <c r="D242" s="12">
        <f t="shared" si="99"/>
        <v>3592</v>
      </c>
      <c r="E242" s="6">
        <f>INDEX(GC!$G$25:$G$144,MATCH($D242,GC!$C$25:$C$144,0))</f>
        <v>0</v>
      </c>
      <c r="F242" s="247">
        <f>INDEX(GC!$I$25:$I$144,MATCH($D242,GC!$C$25:$C$144,0))</f>
        <v>0</v>
      </c>
      <c r="G242" s="6">
        <f t="shared" si="100"/>
        <v>0</v>
      </c>
      <c r="H242" s="6">
        <f t="shared" si="62"/>
        <v>0</v>
      </c>
      <c r="I242" s="6">
        <f t="shared" si="110"/>
        <v>0</v>
      </c>
      <c r="J242" s="6">
        <f>IF(SUM($I$126:I242)&gt;$E$61, SUM($I$126:I242)-SUM($J$125:J241)-$E$61,0)</f>
        <v>0</v>
      </c>
      <c r="K242" s="6" t="e">
        <f t="shared" si="63"/>
        <v>#DIV/0!</v>
      </c>
      <c r="L242" s="6" t="e">
        <f t="shared" si="64"/>
        <v>#DIV/0!</v>
      </c>
      <c r="M242" s="6" t="e">
        <f t="shared" si="65"/>
        <v>#DIV/0!</v>
      </c>
      <c r="N242" s="6">
        <f t="shared" si="66"/>
        <v>0</v>
      </c>
      <c r="O242" s="6">
        <f t="shared" si="67"/>
        <v>0</v>
      </c>
      <c r="P242" s="6">
        <f t="shared" si="68"/>
        <v>0</v>
      </c>
      <c r="Q242" s="6">
        <f t="shared" si="69"/>
        <v>0</v>
      </c>
      <c r="R242" s="6" t="e">
        <f t="shared" si="101"/>
        <v>#DIV/0!</v>
      </c>
      <c r="S242" s="6" t="e">
        <f t="shared" si="70"/>
        <v>#DIV/0!</v>
      </c>
      <c r="T242" s="11" t="e">
        <f>SUM($R$126:R242)/($E$87)</f>
        <v>#DIV/0!</v>
      </c>
      <c r="U242" s="89" t="e">
        <f t="shared" si="71"/>
        <v>#DIV/0!</v>
      </c>
      <c r="V242" s="6" t="e">
        <f t="shared" si="72"/>
        <v>#DIV/0!</v>
      </c>
      <c r="W242" s="6" t="e">
        <f t="shared" si="102"/>
        <v>#DIV/0!</v>
      </c>
      <c r="X242" s="6" t="e">
        <f t="shared" si="73"/>
        <v>#DIV/0!</v>
      </c>
      <c r="Y242" s="6" t="e">
        <f t="shared" si="74"/>
        <v>#DIV/0!</v>
      </c>
      <c r="Z242" s="90" t="e">
        <f t="shared" si="75"/>
        <v>#DIV/0!</v>
      </c>
      <c r="AA242" s="89" t="e">
        <f t="shared" si="76"/>
        <v>#DIV/0!</v>
      </c>
      <c r="AB242" s="6" t="e">
        <f t="shared" si="77"/>
        <v>#DIV/0!</v>
      </c>
      <c r="AC242" s="6" t="e">
        <f t="shared" si="111"/>
        <v>#NUM!</v>
      </c>
      <c r="AD242" s="90" t="e">
        <f t="shared" si="79"/>
        <v>#NUM!</v>
      </c>
      <c r="AE242" s="6" t="e">
        <f t="shared" si="80"/>
        <v>#DIV/0!</v>
      </c>
      <c r="AF242" s="6" t="e">
        <f>IF(SUM(AE243:$AE$245)-SUM(AJ243:$AK$245,AN243:$AN$245)&gt;$E$42,0,IF(SUM($AF$125:AF241)=0,$E$42-(SUM(AE243:$AE$245)-SUM(AJ243:$AK$245,AN243:$AN$245)),AE242-SUM(AJ242:AK242,AN242)))</f>
        <v>#DIV/0!</v>
      </c>
      <c r="AG242" s="89" t="e">
        <f t="shared" si="81"/>
        <v>#DIV/0!</v>
      </c>
      <c r="AH242" s="6" t="e">
        <f t="shared" si="103"/>
        <v>#DIV/0!</v>
      </c>
      <c r="AI242" s="6" t="e">
        <f t="shared" si="82"/>
        <v>#DIV/0!</v>
      </c>
      <c r="AJ242" s="6">
        <f t="shared" si="83"/>
        <v>0</v>
      </c>
      <c r="AK242" s="90">
        <f t="shared" si="84"/>
        <v>0</v>
      </c>
      <c r="AL242" s="6" t="e">
        <f t="shared" si="85"/>
        <v>#DIV/0!</v>
      </c>
      <c r="AM242" s="6" t="e">
        <f t="shared" si="104"/>
        <v>#NUM!</v>
      </c>
      <c r="AN242" s="6">
        <f t="shared" si="86"/>
        <v>0</v>
      </c>
      <c r="AO242" s="6" t="e">
        <f t="shared" si="87"/>
        <v>#DIV/0!</v>
      </c>
      <c r="AP242" s="15">
        <f>IFERROR(XIRR($AO$125:AO242,$D$125:D242),-100%)</f>
        <v>-1</v>
      </c>
      <c r="AQ242" s="129" t="e">
        <f t="shared" si="88"/>
        <v>#NUM!</v>
      </c>
      <c r="AR242" s="300">
        <v>0</v>
      </c>
      <c r="AS242" s="130" t="e">
        <f t="shared" si="112"/>
        <v>#DIV/0!</v>
      </c>
      <c r="AT242" s="10">
        <f>IFERROR(XIRR($AS$125:$AS242,$D$125:$D242),-100%)</f>
        <v>-1</v>
      </c>
      <c r="AU242" s="300">
        <v>0</v>
      </c>
      <c r="AV242" s="130" t="e">
        <f t="shared" si="113"/>
        <v>#DIV/0!</v>
      </c>
      <c r="AW242" s="131">
        <f>IFERROR(XIRR($AV$125:$AV242,$D$125:$D242),-100%)</f>
        <v>-1</v>
      </c>
      <c r="AX242" s="213">
        <f t="shared" si="105"/>
        <v>0</v>
      </c>
      <c r="AY242" s="200" t="e">
        <f t="shared" si="114"/>
        <v>#DIV/0!</v>
      </c>
      <c r="AZ242" s="159">
        <f t="shared" si="115"/>
        <v>0</v>
      </c>
      <c r="BA242" s="148" t="e">
        <f t="shared" si="106"/>
        <v>#NUM!</v>
      </c>
      <c r="BB242" s="6" t="e">
        <f t="shared" si="116"/>
        <v>#NUM!</v>
      </c>
      <c r="BC242" s="6" t="e">
        <f t="shared" si="117"/>
        <v>#NUM!</v>
      </c>
      <c r="BD242" s="149" t="e">
        <f t="shared" si="95"/>
        <v>#NUM!</v>
      </c>
      <c r="BE242" s="148" t="e">
        <f t="shared" si="107"/>
        <v>#NUM!</v>
      </c>
      <c r="BF242" s="6" t="e">
        <f t="shared" si="118"/>
        <v>#NUM!</v>
      </c>
      <c r="BG242" s="6" t="e">
        <f t="shared" si="119"/>
        <v>#DIV/0!</v>
      </c>
      <c r="BH242" s="6" t="e">
        <f t="shared" si="108"/>
        <v>#NUM!</v>
      </c>
      <c r="BI242" s="138" t="e">
        <f t="shared" si="120"/>
        <v>#DIV/0!</v>
      </c>
    </row>
    <row r="243" spans="1:61" x14ac:dyDescent="0.25">
      <c r="A243"/>
      <c r="B243" s="9">
        <f t="shared" si="109"/>
        <v>10</v>
      </c>
      <c r="C243" s="13">
        <v>118</v>
      </c>
      <c r="D243" s="12">
        <f t="shared" si="99"/>
        <v>3622</v>
      </c>
      <c r="E243" s="6">
        <f>INDEX(GC!$G$25:$G$144,MATCH($D243,GC!$C$25:$C$144,0))</f>
        <v>0</v>
      </c>
      <c r="F243" s="247">
        <f>INDEX(GC!$I$25:$I$144,MATCH($D243,GC!$C$25:$C$144,0))</f>
        <v>0</v>
      </c>
      <c r="G243" s="6">
        <f t="shared" si="100"/>
        <v>0</v>
      </c>
      <c r="H243" s="6">
        <f t="shared" si="62"/>
        <v>0</v>
      </c>
      <c r="I243" s="6">
        <f t="shared" si="110"/>
        <v>0</v>
      </c>
      <c r="J243" s="6">
        <f>IF(SUM($I$126:I243)&gt;$E$61, SUM($I$126:I243)-SUM($J$125:J242)-$E$61,0)</f>
        <v>0</v>
      </c>
      <c r="K243" s="6" t="e">
        <f t="shared" si="63"/>
        <v>#DIV/0!</v>
      </c>
      <c r="L243" s="6" t="e">
        <f t="shared" si="64"/>
        <v>#DIV/0!</v>
      </c>
      <c r="M243" s="6" t="e">
        <f t="shared" si="65"/>
        <v>#DIV/0!</v>
      </c>
      <c r="N243" s="6">
        <f t="shared" si="66"/>
        <v>0</v>
      </c>
      <c r="O243" s="6">
        <f t="shared" si="67"/>
        <v>0</v>
      </c>
      <c r="P243" s="6">
        <f t="shared" si="68"/>
        <v>0</v>
      </c>
      <c r="Q243" s="6">
        <f t="shared" si="69"/>
        <v>0</v>
      </c>
      <c r="R243" s="6" t="e">
        <f t="shared" si="101"/>
        <v>#DIV/0!</v>
      </c>
      <c r="S243" s="6" t="e">
        <f t="shared" si="70"/>
        <v>#DIV/0!</v>
      </c>
      <c r="T243" s="11" t="e">
        <f>SUM($R$126:R243)/($E$87)</f>
        <v>#DIV/0!</v>
      </c>
      <c r="U243" s="89" t="e">
        <f t="shared" si="71"/>
        <v>#DIV/0!</v>
      </c>
      <c r="V243" s="6" t="e">
        <f t="shared" si="72"/>
        <v>#DIV/0!</v>
      </c>
      <c r="W243" s="6" t="e">
        <f t="shared" si="102"/>
        <v>#DIV/0!</v>
      </c>
      <c r="X243" s="6" t="e">
        <f t="shared" si="73"/>
        <v>#DIV/0!</v>
      </c>
      <c r="Y243" s="6" t="e">
        <f t="shared" si="74"/>
        <v>#DIV/0!</v>
      </c>
      <c r="Z243" s="90" t="e">
        <f t="shared" si="75"/>
        <v>#DIV/0!</v>
      </c>
      <c r="AA243" s="89" t="e">
        <f t="shared" si="76"/>
        <v>#DIV/0!</v>
      </c>
      <c r="AB243" s="6" t="e">
        <f t="shared" si="77"/>
        <v>#DIV/0!</v>
      </c>
      <c r="AC243" s="6" t="e">
        <f t="shared" si="111"/>
        <v>#NUM!</v>
      </c>
      <c r="AD243" s="90" t="e">
        <f t="shared" si="79"/>
        <v>#NUM!</v>
      </c>
      <c r="AE243" s="6" t="e">
        <f t="shared" si="80"/>
        <v>#DIV/0!</v>
      </c>
      <c r="AF243" s="6" t="e">
        <f>IF(SUM(AE244:$AE$245)-SUM(AJ244:$AK$245,AN244:$AN$245)&gt;$E$42,0,IF(SUM($AF$125:AF242)=0,$E$42-(SUM(AE244:$AE$245)-SUM(AJ244:$AK$245,AN244:$AN$245)),AE243-SUM(AJ243:AK243,AN243)))</f>
        <v>#DIV/0!</v>
      </c>
      <c r="AG243" s="89" t="e">
        <f t="shared" si="81"/>
        <v>#DIV/0!</v>
      </c>
      <c r="AH243" s="6" t="e">
        <f t="shared" si="103"/>
        <v>#DIV/0!</v>
      </c>
      <c r="AI243" s="6" t="e">
        <f t="shared" si="82"/>
        <v>#DIV/0!</v>
      </c>
      <c r="AJ243" s="6">
        <f t="shared" si="83"/>
        <v>0</v>
      </c>
      <c r="AK243" s="90">
        <f t="shared" si="84"/>
        <v>0</v>
      </c>
      <c r="AL243" s="6" t="e">
        <f t="shared" si="85"/>
        <v>#DIV/0!</v>
      </c>
      <c r="AM243" s="6" t="e">
        <f t="shared" si="104"/>
        <v>#NUM!</v>
      </c>
      <c r="AN243" s="6">
        <f t="shared" si="86"/>
        <v>0</v>
      </c>
      <c r="AO243" s="6" t="e">
        <f t="shared" si="87"/>
        <v>#DIV/0!</v>
      </c>
      <c r="AP243" s="15">
        <f>IFERROR(XIRR($AO$125:AO243,$D$125:D243),-100%)</f>
        <v>-1</v>
      </c>
      <c r="AQ243" s="129" t="e">
        <f t="shared" si="88"/>
        <v>#NUM!</v>
      </c>
      <c r="AR243" s="300">
        <v>0</v>
      </c>
      <c r="AS243" s="130" t="e">
        <f t="shared" si="112"/>
        <v>#DIV/0!</v>
      </c>
      <c r="AT243" s="10">
        <f>IFERROR(XIRR($AS$125:$AS243,$D$125:$D243),-100%)</f>
        <v>-1</v>
      </c>
      <c r="AU243" s="300">
        <v>0</v>
      </c>
      <c r="AV243" s="130" t="e">
        <f t="shared" si="113"/>
        <v>#DIV/0!</v>
      </c>
      <c r="AW243" s="131">
        <f>IFERROR(XIRR($AV$125:$AV243,$D$125:$D243),-100%)</f>
        <v>-1</v>
      </c>
      <c r="AX243" s="213">
        <f t="shared" si="105"/>
        <v>0</v>
      </c>
      <c r="AY243" s="200" t="e">
        <f t="shared" si="114"/>
        <v>#DIV/0!</v>
      </c>
      <c r="AZ243" s="159">
        <f t="shared" si="115"/>
        <v>0</v>
      </c>
      <c r="BA243" s="148" t="e">
        <f t="shared" si="106"/>
        <v>#NUM!</v>
      </c>
      <c r="BB243" s="6" t="e">
        <f t="shared" si="116"/>
        <v>#NUM!</v>
      </c>
      <c r="BC243" s="6" t="e">
        <f t="shared" si="117"/>
        <v>#NUM!</v>
      </c>
      <c r="BD243" s="149" t="e">
        <f t="shared" si="95"/>
        <v>#NUM!</v>
      </c>
      <c r="BE243" s="148" t="e">
        <f t="shared" si="107"/>
        <v>#NUM!</v>
      </c>
      <c r="BF243" s="6" t="e">
        <f t="shared" si="118"/>
        <v>#NUM!</v>
      </c>
      <c r="BG243" s="6" t="e">
        <f t="shared" si="119"/>
        <v>#DIV/0!</v>
      </c>
      <c r="BH243" s="6" t="e">
        <f t="shared" si="108"/>
        <v>#NUM!</v>
      </c>
      <c r="BI243" s="138" t="e">
        <f t="shared" si="120"/>
        <v>#DIV/0!</v>
      </c>
    </row>
    <row r="244" spans="1:61" x14ac:dyDescent="0.25">
      <c r="A244"/>
      <c r="B244" s="9">
        <f t="shared" si="109"/>
        <v>10</v>
      </c>
      <c r="C244" s="13">
        <v>119</v>
      </c>
      <c r="D244" s="12">
        <f t="shared" si="99"/>
        <v>3653</v>
      </c>
      <c r="E244" s="6">
        <f>INDEX(GC!$G$25:$G$144,MATCH($D244,GC!$C$25:$C$144,0))</f>
        <v>0</v>
      </c>
      <c r="F244" s="247">
        <f>INDEX(GC!$I$25:$I$144,MATCH($D244,GC!$C$25:$C$144,0))</f>
        <v>0</v>
      </c>
      <c r="G244" s="6">
        <f t="shared" si="100"/>
        <v>0</v>
      </c>
      <c r="H244" s="6">
        <f t="shared" si="62"/>
        <v>0</v>
      </c>
      <c r="I244" s="6">
        <f t="shared" si="110"/>
        <v>0</v>
      </c>
      <c r="J244" s="6">
        <f>IF(SUM($I$126:I244)&gt;$E$61, SUM($I$126:I244)-SUM($J$125:J243)-$E$61,0)</f>
        <v>0</v>
      </c>
      <c r="K244" s="6" t="e">
        <f t="shared" si="63"/>
        <v>#DIV/0!</v>
      </c>
      <c r="L244" s="6" t="e">
        <f t="shared" si="64"/>
        <v>#DIV/0!</v>
      </c>
      <c r="M244" s="6" t="e">
        <f t="shared" si="65"/>
        <v>#DIV/0!</v>
      </c>
      <c r="N244" s="6">
        <f t="shared" si="66"/>
        <v>0</v>
      </c>
      <c r="O244" s="6">
        <f t="shared" si="67"/>
        <v>0</v>
      </c>
      <c r="P244" s="6">
        <f t="shared" si="68"/>
        <v>0</v>
      </c>
      <c r="Q244" s="6">
        <f t="shared" si="69"/>
        <v>0</v>
      </c>
      <c r="R244" s="6" t="e">
        <f t="shared" si="101"/>
        <v>#DIV/0!</v>
      </c>
      <c r="S244" s="6" t="e">
        <f t="shared" si="70"/>
        <v>#DIV/0!</v>
      </c>
      <c r="T244" s="11" t="e">
        <f>SUM($R$126:R244)/($E$87)</f>
        <v>#DIV/0!</v>
      </c>
      <c r="U244" s="89" t="e">
        <f t="shared" si="71"/>
        <v>#DIV/0!</v>
      </c>
      <c r="V244" s="6" t="e">
        <f t="shared" si="72"/>
        <v>#DIV/0!</v>
      </c>
      <c r="W244" s="6" t="e">
        <f t="shared" si="102"/>
        <v>#DIV/0!</v>
      </c>
      <c r="X244" s="6" t="e">
        <f t="shared" si="73"/>
        <v>#DIV/0!</v>
      </c>
      <c r="Y244" s="6" t="e">
        <f t="shared" si="74"/>
        <v>#DIV/0!</v>
      </c>
      <c r="Z244" s="90" t="e">
        <f t="shared" si="75"/>
        <v>#DIV/0!</v>
      </c>
      <c r="AA244" s="89" t="e">
        <f t="shared" si="76"/>
        <v>#DIV/0!</v>
      </c>
      <c r="AB244" s="6" t="e">
        <f t="shared" si="77"/>
        <v>#DIV/0!</v>
      </c>
      <c r="AC244" s="6" t="e">
        <f t="shared" si="111"/>
        <v>#NUM!</v>
      </c>
      <c r="AD244" s="90" t="e">
        <f t="shared" si="79"/>
        <v>#NUM!</v>
      </c>
      <c r="AE244" s="6" t="e">
        <f t="shared" si="80"/>
        <v>#DIV/0!</v>
      </c>
      <c r="AF244" s="6" t="e">
        <f>IF(SUM(AE245:$AE$245)-SUM(AJ245:$AK$245,AN245:$AN$245)&gt;$E$42,0,IF(SUM($AF$125:AF243)=0,$E$42-(SUM(AE245:$AE$245)-SUM(AJ245:$AK$245,AN245:$AN$245)),AE244-SUM(AJ244:AK244,AN244)))</f>
        <v>#DIV/0!</v>
      </c>
      <c r="AG244" s="89" t="e">
        <f t="shared" si="81"/>
        <v>#DIV/0!</v>
      </c>
      <c r="AH244" s="6" t="e">
        <f t="shared" si="103"/>
        <v>#DIV/0!</v>
      </c>
      <c r="AI244" s="6" t="e">
        <f t="shared" si="82"/>
        <v>#DIV/0!</v>
      </c>
      <c r="AJ244" s="6">
        <f t="shared" si="83"/>
        <v>0</v>
      </c>
      <c r="AK244" s="90">
        <f t="shared" si="84"/>
        <v>0</v>
      </c>
      <c r="AL244" s="6" t="e">
        <f t="shared" si="85"/>
        <v>#DIV/0!</v>
      </c>
      <c r="AM244" s="6" t="e">
        <f t="shared" si="104"/>
        <v>#NUM!</v>
      </c>
      <c r="AN244" s="6">
        <f t="shared" si="86"/>
        <v>0</v>
      </c>
      <c r="AO244" s="6" t="e">
        <f t="shared" si="87"/>
        <v>#DIV/0!</v>
      </c>
      <c r="AP244" s="15">
        <f>IFERROR(XIRR($AO$125:AO244,$D$125:D244),-100%)</f>
        <v>-1</v>
      </c>
      <c r="AQ244" s="129" t="e">
        <f t="shared" si="88"/>
        <v>#NUM!</v>
      </c>
      <c r="AR244" s="300">
        <v>0</v>
      </c>
      <c r="AS244" s="130" t="e">
        <f t="shared" si="112"/>
        <v>#DIV/0!</v>
      </c>
      <c r="AT244" s="10">
        <f>IFERROR(XIRR($AS$125:$AS244,$D$125:$D244),-100%)</f>
        <v>-1</v>
      </c>
      <c r="AU244" s="300">
        <v>0</v>
      </c>
      <c r="AV244" s="130" t="e">
        <f t="shared" si="113"/>
        <v>#DIV/0!</v>
      </c>
      <c r="AW244" s="131">
        <f>IFERROR(XIRR($AV$125:$AV244,$D$125:$D244),-100%)</f>
        <v>-1</v>
      </c>
      <c r="AX244" s="213">
        <f t="shared" si="105"/>
        <v>0</v>
      </c>
      <c r="AY244" s="200" t="e">
        <f t="shared" si="114"/>
        <v>#DIV/0!</v>
      </c>
      <c r="AZ244" s="159">
        <f t="shared" si="115"/>
        <v>0</v>
      </c>
      <c r="BA244" s="148" t="e">
        <f t="shared" si="106"/>
        <v>#NUM!</v>
      </c>
      <c r="BB244" s="6" t="e">
        <f t="shared" si="116"/>
        <v>#NUM!</v>
      </c>
      <c r="BC244" s="6" t="e">
        <f t="shared" si="117"/>
        <v>#NUM!</v>
      </c>
      <c r="BD244" s="149" t="e">
        <f t="shared" si="95"/>
        <v>#NUM!</v>
      </c>
      <c r="BE244" s="148" t="e">
        <f t="shared" si="107"/>
        <v>#NUM!</v>
      </c>
      <c r="BF244" s="6" t="e">
        <f t="shared" si="118"/>
        <v>#NUM!</v>
      </c>
      <c r="BG244" s="6" t="e">
        <f t="shared" si="119"/>
        <v>#DIV/0!</v>
      </c>
      <c r="BH244" s="6" t="e">
        <f t="shared" si="108"/>
        <v>#NUM!</v>
      </c>
      <c r="BI244" s="138" t="e">
        <f t="shared" si="120"/>
        <v>#DIV/0!</v>
      </c>
    </row>
    <row r="245" spans="1:61" ht="15.75" thickBot="1" x14ac:dyDescent="0.3">
      <c r="A245"/>
      <c r="B245" s="9">
        <f t="shared" si="109"/>
        <v>10</v>
      </c>
      <c r="C245" s="8">
        <v>120</v>
      </c>
      <c r="D245" s="7">
        <f t="shared" si="99"/>
        <v>3684</v>
      </c>
      <c r="E245" s="3">
        <f>INDEX(GC!$G$25:$G$144,MATCH($D245,GC!$C$25:$C$144,0))</f>
        <v>0</v>
      </c>
      <c r="F245" s="248">
        <f>INDEX(GC!$I$25:$I$144,MATCH($D245,GC!$C$25:$C$144,0))</f>
        <v>0</v>
      </c>
      <c r="G245" s="3">
        <f t="shared" si="100"/>
        <v>0</v>
      </c>
      <c r="H245" s="3">
        <f>SUM(E245:G245)</f>
        <v>0</v>
      </c>
      <c r="I245" s="3">
        <f t="shared" si="110"/>
        <v>0</v>
      </c>
      <c r="J245" s="3">
        <f>IF(SUM($I$126:I245)&gt;$E$61, SUM($I$126:I245)-SUM($J$125:J244)-$E$61,0)</f>
        <v>0</v>
      </c>
      <c r="K245" s="3" t="e">
        <f t="shared" si="63"/>
        <v>#DIV/0!</v>
      </c>
      <c r="L245" s="3" t="e">
        <f t="shared" si="64"/>
        <v>#DIV/0!</v>
      </c>
      <c r="M245" s="3" t="e">
        <f t="shared" si="65"/>
        <v>#DIV/0!</v>
      </c>
      <c r="N245" s="3">
        <f t="shared" si="66"/>
        <v>0</v>
      </c>
      <c r="O245" s="3">
        <f t="shared" si="67"/>
        <v>0</v>
      </c>
      <c r="P245" s="3">
        <f t="shared" si="68"/>
        <v>0</v>
      </c>
      <c r="Q245" s="3">
        <f t="shared" si="69"/>
        <v>0</v>
      </c>
      <c r="R245" s="3" t="e">
        <f t="shared" si="101"/>
        <v>#DIV/0!</v>
      </c>
      <c r="S245" s="3" t="e">
        <f>S244+R245</f>
        <v>#DIV/0!</v>
      </c>
      <c r="T245" s="5" t="e">
        <f>SUM($R$126:R245)/($E$87)</f>
        <v>#DIV/0!</v>
      </c>
      <c r="U245" s="91" t="e">
        <f t="shared" si="71"/>
        <v>#DIV/0!</v>
      </c>
      <c r="V245" s="3" t="e">
        <f t="shared" si="72"/>
        <v>#DIV/0!</v>
      </c>
      <c r="W245" s="3" t="e">
        <f>W244+U245-V245</f>
        <v>#DIV/0!</v>
      </c>
      <c r="X245" s="3" t="e">
        <f t="shared" si="73"/>
        <v>#DIV/0!</v>
      </c>
      <c r="Y245" s="3" t="e">
        <f>Y244-X245</f>
        <v>#DIV/0!</v>
      </c>
      <c r="Z245" s="92" t="e">
        <f t="shared" si="75"/>
        <v>#DIV/0!</v>
      </c>
      <c r="AA245" s="91" t="e">
        <f t="shared" si="76"/>
        <v>#DIV/0!</v>
      </c>
      <c r="AB245" s="3" t="e">
        <f t="shared" si="77"/>
        <v>#DIV/0!</v>
      </c>
      <c r="AC245" s="3" t="e">
        <f t="shared" si="111"/>
        <v>#NUM!</v>
      </c>
      <c r="AD245" s="92" t="e">
        <f t="shared" si="79"/>
        <v>#NUM!</v>
      </c>
      <c r="AE245" s="3" t="e">
        <f t="shared" si="80"/>
        <v>#DIV/0!</v>
      </c>
      <c r="AF245" s="3" t="e">
        <f>IF(SUM(AE$245:$AE246)-SUM(AJ$245:$AK246,AN$245:$AN246)&gt;$E$42,0,IF(SUM($AF$125:AF244)=0,$E$42-(SUM(AE$245:$AE246)-SUM(AJ$245:$AK246,AN$245:$AN246)),AE245-SUM(AJ245:AK245,AN245)))</f>
        <v>#DIV/0!</v>
      </c>
      <c r="AG245" s="91" t="e">
        <f t="shared" si="81"/>
        <v>#DIV/0!</v>
      </c>
      <c r="AH245" s="3" t="e">
        <f t="shared" si="103"/>
        <v>#DIV/0!</v>
      </c>
      <c r="AI245" s="3" t="e">
        <f t="shared" si="82"/>
        <v>#DIV/0!</v>
      </c>
      <c r="AJ245" s="3">
        <f t="shared" si="83"/>
        <v>0</v>
      </c>
      <c r="AK245" s="92">
        <f t="shared" si="84"/>
        <v>0</v>
      </c>
      <c r="AL245" s="3" t="e">
        <f t="shared" si="85"/>
        <v>#DIV/0!</v>
      </c>
      <c r="AM245" s="3" t="e">
        <f t="shared" si="104"/>
        <v>#NUM!</v>
      </c>
      <c r="AN245" s="3">
        <f t="shared" si="86"/>
        <v>0</v>
      </c>
      <c r="AO245" s="3" t="e">
        <f t="shared" si="87"/>
        <v>#DIV/0!</v>
      </c>
      <c r="AP245" s="83">
        <f>IFERROR(XIRR($AO$125:AO245,$D$125:D245),-100%)</f>
        <v>-1</v>
      </c>
      <c r="AQ245" s="132" t="e">
        <f t="shared" si="88"/>
        <v>#NUM!</v>
      </c>
      <c r="AR245" s="301">
        <v>0</v>
      </c>
      <c r="AS245" s="133" t="e">
        <f t="shared" si="112"/>
        <v>#DIV/0!</v>
      </c>
      <c r="AT245" s="2">
        <f>IFERROR(XIRR($AS$125:$AS245,$D$125:$D245),-100%)</f>
        <v>-1</v>
      </c>
      <c r="AU245" s="301">
        <v>0</v>
      </c>
      <c r="AV245" s="133" t="e">
        <f t="shared" si="113"/>
        <v>#DIV/0!</v>
      </c>
      <c r="AW245" s="134">
        <f>IFERROR(XIRR($AV$125:$AV245,$D$125:$D245),-100%)</f>
        <v>-1</v>
      </c>
      <c r="AX245" s="214">
        <f t="shared" si="105"/>
        <v>0</v>
      </c>
      <c r="AY245" s="200" t="e">
        <f t="shared" si="114"/>
        <v>#DIV/0!</v>
      </c>
      <c r="AZ245" s="160">
        <f t="shared" si="115"/>
        <v>0</v>
      </c>
      <c r="BA245" s="150" t="e">
        <f t="shared" si="106"/>
        <v>#NUM!</v>
      </c>
      <c r="BB245" s="3" t="e">
        <f t="shared" si="116"/>
        <v>#NUM!</v>
      </c>
      <c r="BC245" s="3" t="e">
        <f t="shared" si="117"/>
        <v>#NUM!</v>
      </c>
      <c r="BD245" s="151" t="e">
        <f>BA245-BC245</f>
        <v>#NUM!</v>
      </c>
      <c r="BE245" s="150" t="e">
        <f t="shared" si="107"/>
        <v>#NUM!</v>
      </c>
      <c r="BF245" s="3" t="e">
        <f t="shared" si="118"/>
        <v>#NUM!</v>
      </c>
      <c r="BG245" s="3" t="e">
        <f t="shared" si="119"/>
        <v>#DIV/0!</v>
      </c>
      <c r="BH245" s="92" t="e">
        <f t="shared" si="108"/>
        <v>#NUM!</v>
      </c>
      <c r="BI245" s="139" t="e">
        <f t="shared" si="120"/>
        <v>#DIV/0!</v>
      </c>
    </row>
    <row r="246" spans="1:61" x14ac:dyDescent="0.25">
      <c r="E246" s="79"/>
      <c r="F246" s="79"/>
      <c r="G246" s="79"/>
      <c r="AY246" s="1"/>
    </row>
  </sheetData>
  <mergeCells count="16">
    <mergeCell ref="C51:C56"/>
    <mergeCell ref="M3:N3"/>
    <mergeCell ref="P3:Q3"/>
    <mergeCell ref="C25:C42"/>
    <mergeCell ref="C43:C47"/>
    <mergeCell ref="C48:C50"/>
    <mergeCell ref="AG121:AK121"/>
    <mergeCell ref="AL121:AP121"/>
    <mergeCell ref="AZ121:BD121"/>
    <mergeCell ref="BE121:BH121"/>
    <mergeCell ref="C57:C65"/>
    <mergeCell ref="C73:C76"/>
    <mergeCell ref="C78:C86"/>
    <mergeCell ref="C89:C115"/>
    <mergeCell ref="C116:C118"/>
    <mergeCell ref="H121:AD121"/>
  </mergeCells>
  <dataValidations count="2">
    <dataValidation type="list" allowBlank="1" showInputMessage="1" showErrorMessage="1" sqref="E53" xr:uid="{4E1141FF-02DB-493C-9A32-9CECACE07768}">
      <formula1>"Yes,No"</formula1>
    </dataValidation>
    <dataValidation type="list" allowBlank="1" showInputMessage="1" showErrorMessage="1" sqref="H75" xr:uid="{0755E114-5A6F-4579-8114-83E6A73ACB71}">
      <formula1>$H$76:$H$76</formula1>
    </dataValidation>
  </dataValidations>
  <pageMargins left="0.70866141732283472" right="0.70866141732283472" top="0.74803149606299213" bottom="0.74803149606299213" header="0.31496062992125984" footer="0.31496062992125984"/>
  <pageSetup paperSize="9" scale="4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4E51DAAF6A9C42A8F1DD865814BDF7" ma:contentTypeVersion="10" ma:contentTypeDescription="Create a new document." ma:contentTypeScope="" ma:versionID="d88df49d0f8b67e7130da01e27c88464">
  <xsd:schema xmlns:xsd="http://www.w3.org/2001/XMLSchema" xmlns:xs="http://www.w3.org/2001/XMLSchema" xmlns:p="http://schemas.microsoft.com/office/2006/metadata/properties" xmlns:ns2="99cb1dfc-2f3f-4d71-a8c2-68e668168860" xmlns:ns3="2ef98288-d855-47c7-ae11-82173b92d2a8" targetNamespace="http://schemas.microsoft.com/office/2006/metadata/properties" ma:root="true" ma:fieldsID="5264e82284ae165297613bf56a6eef8d" ns2:_="" ns3:_="">
    <xsd:import namespace="99cb1dfc-2f3f-4d71-a8c2-68e668168860"/>
    <xsd:import namespace="2ef98288-d855-47c7-ae11-82173b92d2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cb1dfc-2f3f-4d71-a8c2-68e6681688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43c39fb-662c-4ef3-94b3-74509a4f4a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f98288-d855-47c7-ae11-82173b92d2a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176b94d-b99b-4623-bad4-8c3423d814b2}" ma:internalName="TaxCatchAll" ma:showField="CatchAllData" ma:web="2ef98288-d855-47c7-ae11-82173b92d2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ef98288-d855-47c7-ae11-82173b92d2a8" xsi:nil="true"/>
    <lcf76f155ced4ddcb4097134ff3c332f xmlns="99cb1dfc-2f3f-4d71-a8c2-68e66816886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3ADA29-AF13-4D3B-BB2D-43EEEED5D0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33173B-E23B-46C7-9D57-3AB6F940EE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cb1dfc-2f3f-4d71-a8c2-68e668168860"/>
    <ds:schemaRef ds:uri="2ef98288-d855-47c7-ae11-82173b92d2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A6A731-88D5-4FA0-A77C-6ED16EF88248}">
  <ds:schemaRefs>
    <ds:schemaRef ds:uri="99cb1dfc-2f3f-4d71-a8c2-68e668168860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2ef98288-d855-47c7-ae11-82173b92d2a8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2617016a-78c2-43aa-8864-b0bc9ae16b98}" enabled="0" method="" siteId="{2617016a-78c2-43aa-8864-b0bc9ae16b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GC</vt:lpstr>
      <vt:lpstr>Summary&amp;CF_SICAV</vt:lpstr>
      <vt:lpstr>'Summary&amp;CF_SICAV'!Print_Area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Violeta Sandrovschi</dc:creator>
  <cp:lastModifiedBy>Ján Pitoňák</cp:lastModifiedBy>
  <cp:lastPrinted>2017-07-07T09:09:05Z</cp:lastPrinted>
  <dcterms:created xsi:type="dcterms:W3CDTF">2017-03-22T14:02:54Z</dcterms:created>
  <dcterms:modified xsi:type="dcterms:W3CDTF">2025-11-19T13:33:35Z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0x010100C14E51DAAF6A9C42A8F1DD865814BDF7</vt:lpwstr>
  </property>
  <property fmtid="{D5CDD505-2E9C-101B-9397-08002B2CF9AE}" pid="3" name="MediaServiceImageTags">
    <vt:lpwstr/>
  </property>
</Properties>
</file>